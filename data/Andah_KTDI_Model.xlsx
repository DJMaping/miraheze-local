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TDI Model" sheetId="2" state="visible" r:id="rId2"/>
    <sheet name="Config" sheetId="3" state="visible" r:id="rId3"/>
    <sheet name="Earth curves" sheetId="4" state="visible" r:id="rId4"/>
    <sheet name="Sibl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"/>
    <numFmt numFmtId="167" formatCode="+0.000;-0.000;0.00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  <font>
      <b val="1"/>
      <sz val="11"/>
    </font>
    <font>
      <i val="1"/>
      <color rgb="007C8695"/>
    </font>
    <font>
      <b val="1"/>
    </font>
  </fonts>
  <fills count="8">
    <fill>
      <patternFill/>
    </fill>
    <fill>
      <patternFill patternType="gray125"/>
    </fill>
    <fill>
      <patternFill patternType="solid">
        <fgColor rgb="0036528C"/>
      </patternFill>
    </fill>
    <fill>
      <patternFill patternType="solid">
        <fgColor rgb="00FFF3D6"/>
      </patternFill>
    </fill>
    <fill>
      <patternFill patternType="solid">
        <fgColor rgb="00EAF4EE"/>
      </patternFill>
    </fill>
    <fill>
      <patternFill patternType="solid">
        <fgColor rgb="001F6F4A"/>
      </patternFill>
    </fill>
    <fill>
      <patternFill patternType="solid">
        <fgColor rgb="006B4B8A"/>
      </patternFill>
    </fill>
    <fill>
      <patternFill patternType="solid">
        <fgColor rgb="008A5A1F"/>
      </patternFill>
    </fill>
  </fills>
  <borders count="2">
    <border>
      <left/>
      <right/>
      <top/>
      <bottom/>
      <diagonal/>
    </border>
    <border>
      <bottom style="thin">
        <color rgb="00D0D4D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4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4" borderId="1" pivotButton="0" quotePrefix="0" xfId="0"/>
    <xf numFmtId="164" fontId="0" fillId="0" borderId="1" pivotButton="0" quotePrefix="0" xfId="0"/>
    <xf numFmtId="167" fontId="0" fillId="0" borderId="1" pivotButton="0" quotePrefix="0" xfId="0"/>
    <xf numFmtId="1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164" fontId="3" fillId="4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dxfs count="1">
    <dxf>
      <font>
        <b val="1"/>
        <color rgb="009C2321"/>
      </font>
      <fill>
        <patternFill patternType="solid">
          <fgColor rgb="00FBE7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Andah KTDI model, seed-driven</t>
        </is>
      </c>
    </row>
    <row r="2">
      <c r="A2" t="inlineStr"/>
    </row>
    <row r="3">
      <c r="A3" s="1" t="inlineStr">
        <is>
          <t>THE SEED</t>
        </is>
      </c>
    </row>
    <row r="4">
      <c r="A4" t="inlineStr">
        <is>
          <t xml:space="preserve">  Config!B2. Change it to any whole number and every random element re-rolls across all 172</t>
        </is>
      </c>
    </row>
    <row r="5">
      <c r="A5" t="inlineStr">
        <is>
          <t xml:space="preserve">  countries at once. The same seed always rebuilds the same world, so nothing is lost by trying one.</t>
        </is>
      </c>
    </row>
    <row r="6">
      <c r="A6" t="inlineStr">
        <is>
          <t xml:space="preserve">  Config!B3 is the dice strength; set it to 0 to switch the randomness off completely and keep only</t>
        </is>
      </c>
    </row>
    <row r="7">
      <c r="A7" t="inlineStr">
        <is>
          <t xml:space="preserve">  the real analogue data.</t>
        </is>
      </c>
    </row>
    <row r="8">
      <c r="A8" t="inlineStr">
        <is>
          <t xml:space="preserve">  Moving from seed 1765 to 4242 changes 157 of the 172 KTDI values, by a median of 0.013 and at</t>
        </is>
      </c>
    </row>
    <row r="9">
      <c r="A9" t="inlineStr">
        <is>
          <t xml:space="preserve">  most 0.143.</t>
        </is>
      </c>
    </row>
    <row r="10">
      <c r="A10" t="inlineStr"/>
    </row>
    <row r="11">
      <c r="A11" s="1" t="inlineStr">
        <is>
          <t>WHY THERE IS A HOME-MADE RANDOM GENERATOR IN HERE</t>
        </is>
      </c>
    </row>
    <row r="12">
      <c r="A12" t="inlineStr">
        <is>
          <t xml:space="preserve">  Excel has no seeded random function. RAND() cannot be reproduced and recalculates on every edit,</t>
        </is>
      </c>
    </row>
    <row r="13">
      <c r="A13" t="inlineStr">
        <is>
          <t xml:space="preserve">  which would mean the file never showed the same world twice. So the dice are a linear congruential</t>
        </is>
      </c>
    </row>
    <row r="14">
      <c r="A14" t="inlineStr">
        <is>
          <t xml:space="preserve">  generator over the seed and a fixed per-country Dice ID, in the hidden u1/u2/u3 columns. It is</t>
        </is>
      </c>
    </row>
    <row r="15">
      <c r="A15" t="inlineStr">
        <is>
          <t xml:space="preserve">  deterministic and gives identical results in Excel, LibreOffice and the Python generator.</t>
        </is>
      </c>
    </row>
    <row r="16">
      <c r="A16" t="inlineStr"/>
    </row>
    <row r="17">
      <c r="A17" t="inlineStr">
        <is>
          <t xml:space="preserve">  SORTING IS SAFE. The dice are keyed to the Dice ID in the last column, which travels with its row,</t>
        </is>
      </c>
    </row>
    <row r="18">
      <c r="A18" t="inlineStr">
        <is>
          <t xml:space="preserve">  NOT to the row number. Sort by any column and every country keeps its own numbers. An earlier version</t>
        </is>
      </c>
    </row>
    <row r="19">
      <c r="A19" t="inlineStr">
        <is>
          <t xml:space="preserve">  used ROW(), which meant sorting silently re-rolled the whole sheet.</t>
        </is>
      </c>
    </row>
    <row r="20">
      <c r="A20" t="inlineStr">
        <is>
          <t xml:space="preserve">  Do not edit the Dice ID column, and if you sort, sort the whole table so the IDs travel with their</t>
        </is>
      </c>
    </row>
    <row r="21">
      <c r="A21" t="inlineStr">
        <is>
          <t xml:space="preserve">  rows. The header filter on row 1 does that for you.</t>
        </is>
      </c>
    </row>
    <row r="22">
      <c r="A22" t="inlineStr"/>
    </row>
    <row r="23">
      <c r="A23" s="1" t="inlineStr">
        <is>
          <t>WHAT YOU CAN EDIT</t>
        </is>
      </c>
    </row>
    <row r="24">
      <c r="A24" t="inlineStr">
        <is>
          <t xml:space="preserve">  Green columns. GDP per capita is real data from your own spreadsheet. The three '(yours)' columns</t>
        </is>
      </c>
    </row>
    <row r="25">
      <c r="A25" t="inlineStr">
        <is>
          <t xml:space="preserve">  are blank overrides: leave one empty and the model's own figure is used, or type a number to pin it.</t>
        </is>
      </c>
    </row>
    <row r="26">
      <c r="A26" t="inlineStr">
        <is>
          <t xml:space="preserve">  Orange columns are what the dice produced. Purple columns are formulas.</t>
        </is>
      </c>
    </row>
    <row r="27">
      <c r="A27" t="inlineStr">
        <is>
          <t xml:space="preserve">  Seventeen plumbing columns are hidden. Unhide them if you want to see the workings.</t>
        </is>
      </c>
    </row>
    <row r="28">
      <c r="A28" t="inlineStr"/>
    </row>
    <row r="29">
      <c r="A29" s="1" t="inlineStr">
        <is>
          <t>HOW A COUNTRY GETS ITS NUMBERS</t>
        </is>
      </c>
    </row>
    <row r="30">
      <c r="A30" t="inlineStr">
        <is>
          <t xml:space="preserve">  Income sets the level: the Earth curves sheet holds what health and education a real country at that</t>
        </is>
      </c>
    </row>
    <row r="31">
      <c r="A31" t="inlineStr">
        <is>
          <t xml:space="preserve">  income actually had in 2015, sampled from 186 of them.</t>
        </is>
      </c>
    </row>
    <row r="32">
      <c r="A32" t="inlineStr">
        <is>
          <t xml:space="preserve">  Character sets the deviation. 83 countries carry one of your own Earth analogues and take that</t>
        </is>
      </c>
    </row>
    <row r="33">
      <c r="A33" t="inlineStr">
        <is>
          <t xml:space="preserve">  country's real deviation. The other 89 borrow a sibling from the Siblings sheet, drawn by seed from</t>
        </is>
      </c>
    </row>
    <row r="34">
      <c r="A34" t="inlineStr">
        <is>
          <t xml:space="preserve">  within their own continent. The published KTDI is never an input.</t>
        </is>
      </c>
    </row>
    <row r="35">
      <c r="A35" t="inlineStr"/>
    </row>
    <row r="36">
      <c r="A36" s="1" t="inlineStr">
        <is>
          <t>READING THE CHANGE COLUMNS</t>
        </is>
      </c>
    </row>
    <row r="37">
      <c r="A37" t="inlineStr">
        <is>
          <t xml:space="preserve">  Every country shifts by the same amount simply because the lahn stays at $0.155, so the 'Change vs</t>
        </is>
      </c>
    </row>
    <row r="38">
      <c r="A38" t="inlineStr">
        <is>
          <t xml:space="preserve">  shared shift' column subtracts that. It is the real signal, and the review flag uses it.</t>
        </is>
      </c>
    </row>
    <row r="39">
      <c r="A39" t="inlineStr"/>
    </row>
    <row r="40">
      <c r="A40" s="1" t="inlineStr">
        <is>
          <t>KNOWN LIMIT</t>
        </is>
      </c>
    </row>
    <row r="41">
      <c r="A41" t="inlineStr">
        <is>
          <t xml:space="preserve">  The index tracks GDP per capita more tightly than Earth does: scatter 0.031 against Earth's 0.043</t>
        </is>
      </c>
    </row>
    <row r="42">
      <c r="A42" t="inlineStr">
        <is>
          <t xml:space="preserve">  measured like for like. That is because 89 countries reuse only 83 distinct characters. Writing more</t>
        </is>
      </c>
    </row>
    <row r="43">
      <c r="A43" t="inlineStr">
        <is>
          <t xml:space="preserve">  Earth analogues into the Earth Comparsion sheet is the fix; raising the dice barely moves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22" customWidth="1" min="3" max="3"/>
    <col width="17" customWidth="1" min="4" max="4"/>
    <col width="15" customWidth="1" min="5" max="5"/>
    <col hidden="1" width="11" customWidth="1" min="6" max="6"/>
    <col width="11" customWidth="1" min="7" max="7"/>
    <col hidden="1" width="9" customWidth="1" min="8" max="8"/>
    <col hidden="1" width="9" customWidth="1" min="9" max="9"/>
    <col hidden="1" width="9" customWidth="1" min="10" max="10"/>
    <col hidden="1" width="10" customWidth="1" min="11" max="11"/>
    <col hidden="1" width="10" customWidth="1" min="12" max="12"/>
    <col hidden="1" width="9" customWidth="1" min="13" max="13"/>
    <col hidden="1" width="9" customWidth="1" min="14" max="14"/>
    <col hidden="1" width="10" customWidth="1" min="15" max="15"/>
    <col hidden="1" width="10" customWidth="1" min="16" max="16"/>
    <col hidden="1" width="10" customWidth="1" min="17" max="17"/>
    <col hidden="1" width="10" customWidth="1" min="18" max="18"/>
    <col hidden="1" width="11" customWidth="1" min="19" max="19"/>
    <col width="13" customWidth="1" min="20" max="20"/>
    <col width="13" customWidth="1" min="21" max="21"/>
    <col width="13" customWidth="1" min="22" max="22"/>
    <col hidden="1" width="11" customWidth="1" min="23" max="23"/>
    <col hidden="1" width="9" customWidth="1" min="24" max="24"/>
    <col hidden="1" width="9" customWidth="1" min="25" max="25"/>
    <col hidden="1" width="9" customWidth="1" min="26" max="26"/>
    <col width="14" customWidth="1" min="27" max="27"/>
    <col width="10" customWidth="1" min="28" max="28"/>
    <col width="10" customWidth="1" min="29" max="29"/>
    <col width="14" customWidth="1" min="30" max="30"/>
    <col width="10" customWidth="1" min="31" max="31"/>
    <col width="10" customWidth="1" min="32" max="32"/>
    <col width="11" customWidth="1" min="33" max="33"/>
    <col width="12" customWidth="1" min="34" max="34"/>
    <col width="12" customWidth="1" min="35" max="35"/>
    <col width="12" customWidth="1" min="36" max="36"/>
    <col width="10" customWidth="1" min="37" max="37"/>
    <col width="13" customWidth="1" min="38" max="38"/>
    <col width="10" customWidth="1" min="39" max="39"/>
    <col width="11" customWidth="1" min="40" max="40"/>
    <col width="11" customWidth="1" min="41" max="41"/>
    <col width="13" customWidth="1" min="42" max="42"/>
  </cols>
  <sheetData>
    <row r="1" ht="46" customHeight="1">
      <c r="A1" s="2" t="inlineStr">
        <is>
          <t>Country</t>
        </is>
      </c>
      <c r="B1" s="2" t="inlineStr">
        <is>
          <t>Continent</t>
        </is>
      </c>
      <c r="C1" s="2" t="inlineStr">
        <is>
          <t>Archetypes</t>
        </is>
      </c>
      <c r="D1" s="3" t="inlineStr">
        <is>
          <t>GDP per capita, nominal (lahn)</t>
        </is>
      </c>
      <c r="E1" s="4" t="inlineStr">
        <is>
          <t>GDP per capita, nominal (US$)</t>
        </is>
      </c>
      <c r="F1" s="4" t="inlineStr">
        <is>
          <t>log income</t>
        </is>
      </c>
      <c r="G1" s="4" t="inlineStr">
        <is>
          <t>Income index</t>
        </is>
      </c>
      <c r="H1" s="4" t="inlineStr">
        <is>
          <t>u1</t>
        </is>
      </c>
      <c r="I1" s="4" t="inlineStr">
        <is>
          <t>u2</t>
        </is>
      </c>
      <c r="J1" s="4" t="inlineStr">
        <is>
          <t>u3</t>
        </is>
      </c>
      <c r="K1" s="4" t="inlineStr">
        <is>
          <t>own dev h</t>
        </is>
      </c>
      <c r="L1" s="4" t="inlineStr">
        <is>
          <t>own dev e</t>
        </is>
      </c>
      <c r="M1" s="4" t="inlineStr">
        <is>
          <t>sib count</t>
        </is>
      </c>
      <c r="N1" s="4" t="inlineStr">
        <is>
          <t>sib pick</t>
        </is>
      </c>
      <c r="O1" s="4" t="inlineStr">
        <is>
          <t>dev h used</t>
        </is>
      </c>
      <c r="P1" s="4" t="inlineStr">
        <is>
          <t>dev e used</t>
        </is>
      </c>
      <c r="Q1" s="4" t="inlineStr">
        <is>
          <t>exp health</t>
        </is>
      </c>
      <c r="R1" s="4" t="inlineStr">
        <is>
          <t>exp educ</t>
        </is>
      </c>
      <c r="S1" s="4" t="inlineStr">
        <is>
          <t>health idx raw</t>
        </is>
      </c>
      <c r="T1" s="5" t="inlineStr">
        <is>
          <t>Life expectancy (auto)</t>
        </is>
      </c>
      <c r="U1" s="3" t="inlineStr">
        <is>
          <t>Life expectancy (yours)</t>
        </is>
      </c>
      <c r="V1" s="4" t="inlineStr">
        <is>
          <t>Life expectancy (used)</t>
        </is>
      </c>
      <c r="W1" s="4" t="inlineStr">
        <is>
          <t>educ idx target</t>
        </is>
      </c>
      <c r="X1" s="4" t="inlineStr">
        <is>
          <t>eys0</t>
        </is>
      </c>
      <c r="Y1" s="4" t="inlineStr">
        <is>
          <t>mys0</t>
        </is>
      </c>
      <c r="Z1" s="4" t="inlineStr">
        <is>
          <t>ie0</t>
        </is>
      </c>
      <c r="AA1" s="5" t="inlineStr">
        <is>
          <t>Expected yrs schooling (auto)</t>
        </is>
      </c>
      <c r="AB1" s="3" t="inlineStr">
        <is>
          <t>(yours)</t>
        </is>
      </c>
      <c r="AC1" s="4" t="inlineStr">
        <is>
          <t>(used)</t>
        </is>
      </c>
      <c r="AD1" s="5" t="inlineStr">
        <is>
          <t>Mean yrs schooling (auto)</t>
        </is>
      </c>
      <c r="AE1" s="3" t="inlineStr">
        <is>
          <t>(yours)</t>
        </is>
      </c>
      <c r="AF1" s="4" t="inlineStr">
        <is>
          <t>(used)</t>
        </is>
      </c>
      <c r="AG1" s="4" t="inlineStr">
        <is>
          <t>Health index</t>
        </is>
      </c>
      <c r="AH1" s="4" t="inlineStr">
        <is>
          <t>Education index</t>
        </is>
      </c>
      <c r="AI1" s="4" t="inlineStr">
        <is>
          <t>KTDI computed</t>
        </is>
      </c>
      <c r="AJ1" s="2" t="inlineStr">
        <is>
          <t>KTDI published</t>
        </is>
      </c>
      <c r="AK1" s="4" t="inlineStr">
        <is>
          <t>Change</t>
        </is>
      </c>
      <c r="AL1" s="4" t="inlineStr">
        <is>
          <t>Change vs shared shift</t>
        </is>
      </c>
      <c r="AM1" s="4" t="inlineStr">
        <is>
          <t>Review</t>
        </is>
      </c>
      <c r="AN1" s="4" t="inlineStr">
        <is>
          <t>Rank computed</t>
        </is>
      </c>
      <c r="AO1" s="4" t="inlineStr">
        <is>
          <t>Rank published</t>
        </is>
      </c>
      <c r="AP1" s="2" t="inlineStr">
        <is>
          <t>Dice ID (do not edit or sort away)</t>
        </is>
      </c>
    </row>
    <row r="2">
      <c r="A2" s="6" t="inlineStr">
        <is>
          <t>Acetoa</t>
        </is>
      </c>
      <c r="B2" s="6" t="inlineStr">
        <is>
          <t>Acrola</t>
        </is>
      </c>
      <c r="C2" s="6" t="inlineStr">
        <is>
          <t>—</t>
        </is>
      </c>
      <c r="D2" s="7" t="n">
        <v>66667</v>
      </c>
      <c r="E2" s="8">
        <f>D2*Config!$B$4</f>
        <v/>
      </c>
      <c r="F2" s="6">
        <f>LN(MAX(60,E2))</f>
        <v/>
      </c>
      <c r="G2" s="9">
        <f>MEDIAN(0,(F2-LN(Config!$B$5))/(LN(Config!$B$6)-LN(Config!$B$5)),1)</f>
        <v/>
      </c>
      <c r="H2" s="6">
        <f>MOD((Config!$B$2+$AP2*7919)*9301+49297,233280)/233280</f>
        <v/>
      </c>
      <c r="I2" s="6">
        <f>MOD((Config!$B$2+$AP2*104729)*4096+150889,714025)/714025</f>
        <v/>
      </c>
      <c r="J2" s="6">
        <f>MOD((Config!$B$2*31+$AP2*15485863)*1366+150889,714025)/714025</f>
        <v/>
      </c>
      <c r="K2" s="6" t="n"/>
      <c r="L2" s="6" t="n"/>
      <c r="M2" s="6">
        <f>COUNTIF(Siblings!$A$2:$A$84,B2)</f>
        <v/>
      </c>
      <c r="N2" s="6">
        <f>1+INT(J2*M2)</f>
        <v/>
      </c>
      <c r="O2" s="6">
        <f>IF(K2&lt;&gt;"",K2,IFERROR(INDEX(Siblings!$D$2:$D$84,MATCH(B2&amp;"|"&amp;N2,Siblings!$F$2:$F$84,0)),0))</f>
        <v/>
      </c>
      <c r="P2" s="6">
        <f>IF(L2&lt;&gt;"",L2,IFERROR(INDEX(Siblings!$E$2:$E$84,MATCH(B2&amp;"|"&amp;N2,Siblings!$F$2:$F$84,0)),0))</f>
        <v/>
      </c>
      <c r="Q2" s="6">
        <f>(INDEX('Earth curves'!$B$2:$B$46,MAX(1,MIN(44,IFERROR(MATCH(F2,'Earth curves'!$A$2:$A$46,1),1))))+(F2-INDEX('Earth curves'!$A$2:$A$46,MAX(1,MIN(44,IFERROR(MATCH(F2,'Earth curves'!$A$2:$A$46,1),1)))))*(INDEX('Earth curves'!$B$2:$B$46,MAX(1,MIN(44,IFERROR(MATCH(F2,'Earth curves'!$A$2:$A$46,1),1)))+1)-INDEX('Earth curves'!$B$2:$B$46,MAX(1,MIN(44,IFERROR(MATCH(F2,'Earth curves'!$A$2:$A$46,1),1)))))/(INDEX('Earth curves'!$A$2:$A$46,MAX(1,MIN(44,IFERROR(MATCH(F2,'Earth curves'!$A$2:$A$46,1),1)))+1)-INDEX('Earth curves'!$A$2:$A$46,MAX(1,MIN(44,IFERROR(MATCH(F2,'Earth curves'!$A$2:$A$46,1),1))))))</f>
        <v/>
      </c>
      <c r="R2" s="6">
        <f>(INDEX('Earth curves'!$C$2:$C$46,MAX(1,MIN(44,IFERROR(MATCH(F2,'Earth curves'!$A$2:$A$46,1),1))))+(F2-INDEX('Earth curves'!$A$2:$A$46,MAX(1,MIN(44,IFERROR(MATCH(F2,'Earth curves'!$A$2:$A$46,1),1)))))*(INDEX('Earth curves'!$C$2:$C$46,MAX(1,MIN(44,IFERROR(MATCH(F2,'Earth curves'!$A$2:$A$46,1),1)))+1)-INDEX('Earth curves'!$C$2:$C$46,MAX(1,MIN(44,IFERROR(MATCH(F2,'Earth curves'!$A$2:$A$46,1),1)))))/(INDEX('Earth curves'!$A$2:$A$46,MAX(1,MIN(44,IFERROR(MATCH(F2,'Earth curves'!$A$2:$A$46,1),1)))+1)-INDEX('Earth curves'!$A$2:$A$46,MAX(1,MIN(44,IFERROR(MATCH(F2,'Earth curves'!$A$2:$A$46,1),1))))))</f>
        <v/>
      </c>
      <c r="S2" s="6">
        <f>MEDIAN(0.307692,Q2+MEDIAN(-0.350583,O2+NORMSINV(H2)*0.064828*Config!$B$3,0.120277),0.993846)</f>
        <v/>
      </c>
      <c r="T2" s="10">
        <f>ROUND(Config!$B$7+(Config!$B$8-Config!$B$7)*S2,1)</f>
        <v/>
      </c>
      <c r="U2" s="11" t="n"/>
      <c r="V2" s="10">
        <f>IF(U2="",T2,U2)</f>
        <v/>
      </c>
      <c r="W2" s="6">
        <f>MEDIAN(0.05,R2+MEDIAN(-0.302219,P2+NORMSINV(I2)*0.089531*Config!$B$3,0.274961),0.999)</f>
        <v/>
      </c>
      <c r="X2" s="6">
        <f>(INDEX('Earth curves'!$F$2:$F$46,MAX(1,MIN(44,IFERROR(MATCH(W2,'Earth curves'!$E$2:$E$46,1),1))))+(W2-INDEX('Earth curves'!$E$2:$E$46,MAX(1,MIN(44,IFERROR(MATCH(W2,'Earth curves'!$E$2:$E$46,1),1)))))*(INDEX('Earth curves'!$F$2:$F$46,MAX(1,MIN(44,IFERROR(MATCH(W2,'Earth curves'!$E$2:$E$46,1),1)))+1)-INDEX('Earth curves'!$F$2:$F$46,MAX(1,MIN(44,IFERROR(MATCH(W2,'Earth curves'!$E$2:$E$46,1),1)))))/(INDEX('Earth curves'!$E$2:$E$46,MAX(1,MIN(44,IFERROR(MATCH(W2,'Earth curves'!$E$2:$E$46,1),1)))+1)-INDEX('Earth curves'!$E$2:$E$46,MAX(1,MIN(44,IFERROR(MATCH(W2,'Earth curves'!$E$2:$E$46,1),1))))))</f>
        <v/>
      </c>
      <c r="Y2" s="6">
        <f>(INDEX('Earth curves'!$G$2:$G$46,MAX(1,MIN(44,IFERROR(MATCH(W2,'Earth curves'!$E$2:$E$46,1),1))))+(W2-INDEX('Earth curves'!$E$2:$E$46,MAX(1,MIN(44,IFERROR(MATCH(W2,'Earth curves'!$E$2:$E$46,1),1)))))*(INDEX('Earth curves'!$G$2:$G$46,MAX(1,MIN(44,IFERROR(MATCH(W2,'Earth curves'!$E$2:$E$46,1),1)))+1)-INDEX('Earth curves'!$G$2:$G$46,MAX(1,MIN(44,IFERROR(MATCH(W2,'Earth curves'!$E$2:$E$46,1),1)))))/(INDEX('Earth curves'!$E$2:$E$46,MAX(1,MIN(44,IFERROR(MATCH(W2,'Earth curves'!$E$2:$E$46,1),1)))+1)-INDEX('Earth curves'!$E$2:$E$46,MAX(1,MIN(44,IFERROR(MATCH(W2,'Earth curves'!$E$2:$E$46,1),1))))))</f>
        <v/>
      </c>
      <c r="Z2" s="6">
        <f>(MIN(X2/Config!$B$9,1)+MIN(Y2/Config!$B$10,1))/2</f>
        <v/>
      </c>
      <c r="AA2" s="10">
        <f>ROUND(MIN(22,MAX(3,X2*W2/Z2)),1)</f>
        <v/>
      </c>
      <c r="AB2" s="11" t="n"/>
      <c r="AC2" s="10">
        <f>IF(AB2="",AA2,AB2)</f>
        <v/>
      </c>
      <c r="AD2" s="10">
        <f>ROUND(MIN(Config!$B$10,MAX(1,Y2*W2/Z2)),1)</f>
        <v/>
      </c>
      <c r="AE2" s="11" t="n"/>
      <c r="AF2" s="10">
        <f>IF(AE2="",AD2,AE2)</f>
        <v/>
      </c>
      <c r="AG2" s="9">
        <f>(V2-Config!$B$7)/(Config!$B$8-Config!$B$7)</f>
        <v/>
      </c>
      <c r="AH2" s="9">
        <f>(MIN(AC2/Config!$B$9,1)+MIN(AF2/Config!$B$10,1))/2</f>
        <v/>
      </c>
      <c r="AI2" s="12">
        <f>ROUND((AG2*AH2*G2)^(1/3),3)</f>
        <v/>
      </c>
      <c r="AJ2" s="12" t="n">
        <v>0.779</v>
      </c>
      <c r="AK2" s="13">
        <f>AI2-AJ2</f>
        <v/>
      </c>
      <c r="AL2" s="13">
        <f>AK2-AVERAGE($AK$2:$AK$173)</f>
        <v/>
      </c>
      <c r="AM2" s="6">
        <f>IF(ABS(AL2)&gt;Config!$B$11,"REVIEW","")</f>
        <v/>
      </c>
      <c r="AN2" s="14">
        <f>RANK(AI2,$AI$2:$AI$173)</f>
        <v/>
      </c>
      <c r="AO2" s="14">
        <f>RANK(AJ2,$AJ$2:$AJ$173)</f>
        <v/>
      </c>
      <c r="AP2" s="14" t="n">
        <v>2</v>
      </c>
    </row>
    <row r="3">
      <c r="A3" s="6" t="inlineStr">
        <is>
          <t>Acrana</t>
        </is>
      </c>
      <c r="B3" s="6" t="inlineStr">
        <is>
          <t>Ayuma</t>
        </is>
      </c>
      <c r="C3" s="6" t="inlineStr">
        <is>
          <t>militarised, resource</t>
        </is>
      </c>
      <c r="D3" s="7" t="n">
        <v>70794</v>
      </c>
      <c r="E3" s="8">
        <f>D3*Config!$B$4</f>
        <v/>
      </c>
      <c r="F3" s="6">
        <f>LN(MAX(60,E3))</f>
        <v/>
      </c>
      <c r="G3" s="9">
        <f>MEDIAN(0,(F3-LN(Config!$B$5))/(LN(Config!$B$6)-LN(Config!$B$5)),1)</f>
        <v/>
      </c>
      <c r="H3" s="6">
        <f>MOD((Config!$B$2+$AP3*7919)*9301+49297,233280)/233280</f>
        <v/>
      </c>
      <c r="I3" s="6">
        <f>MOD((Config!$B$2+$AP3*104729)*4096+150889,714025)/714025</f>
        <v/>
      </c>
      <c r="J3" s="6">
        <f>MOD((Config!$B$2*31+$AP3*15485863)*1366+150889,714025)/714025</f>
        <v/>
      </c>
      <c r="K3" s="6" t="n">
        <v>0.036007</v>
      </c>
      <c r="L3" s="6" t="n">
        <v>0.071534</v>
      </c>
      <c r="M3" s="6">
        <f>COUNTIF(Siblings!$A$2:$A$84,B3)</f>
        <v/>
      </c>
      <c r="N3" s="6">
        <f>1+INT(J3*M3)</f>
        <v/>
      </c>
      <c r="O3" s="6">
        <f>IF(K3&lt;&gt;"",K3,IFERROR(INDEX(Siblings!$D$2:$D$84,MATCH(B3&amp;"|"&amp;N3,Siblings!$F$2:$F$84,0)),0))</f>
        <v/>
      </c>
      <c r="P3" s="6">
        <f>IF(L3&lt;&gt;"",L3,IFERROR(INDEX(Siblings!$E$2:$E$84,MATCH(B3&amp;"|"&amp;N3,Siblings!$F$2:$F$84,0)),0))</f>
        <v/>
      </c>
      <c r="Q3" s="6">
        <f>(INDEX('Earth curves'!$B$2:$B$46,MAX(1,MIN(44,IFERROR(MATCH(F3,'Earth curves'!$A$2:$A$46,1),1))))+(F3-INDEX('Earth curves'!$A$2:$A$46,MAX(1,MIN(44,IFERROR(MATCH(F3,'Earth curves'!$A$2:$A$46,1),1)))))*(INDEX('Earth curves'!$B$2:$B$46,MAX(1,MIN(44,IFERROR(MATCH(F3,'Earth curves'!$A$2:$A$46,1),1)))+1)-INDEX('Earth curves'!$B$2:$B$46,MAX(1,MIN(44,IFERROR(MATCH(F3,'Earth curves'!$A$2:$A$46,1),1)))))/(INDEX('Earth curves'!$A$2:$A$46,MAX(1,MIN(44,IFERROR(MATCH(F3,'Earth curves'!$A$2:$A$46,1),1)))+1)-INDEX('Earth curves'!$A$2:$A$46,MAX(1,MIN(44,IFERROR(MATCH(F3,'Earth curves'!$A$2:$A$46,1),1))))))</f>
        <v/>
      </c>
      <c r="R3" s="6">
        <f>(INDEX('Earth curves'!$C$2:$C$46,MAX(1,MIN(44,IFERROR(MATCH(F3,'Earth curves'!$A$2:$A$46,1),1))))+(F3-INDEX('Earth curves'!$A$2:$A$46,MAX(1,MIN(44,IFERROR(MATCH(F3,'Earth curves'!$A$2:$A$46,1),1)))))*(INDEX('Earth curves'!$C$2:$C$46,MAX(1,MIN(44,IFERROR(MATCH(F3,'Earth curves'!$A$2:$A$46,1),1)))+1)-INDEX('Earth curves'!$C$2:$C$46,MAX(1,MIN(44,IFERROR(MATCH(F3,'Earth curves'!$A$2:$A$46,1),1)))))/(INDEX('Earth curves'!$A$2:$A$46,MAX(1,MIN(44,IFERROR(MATCH(F3,'Earth curves'!$A$2:$A$46,1),1)))+1)-INDEX('Earth curves'!$A$2:$A$46,MAX(1,MIN(44,IFERROR(MATCH(F3,'Earth curves'!$A$2:$A$46,1),1))))))</f>
        <v/>
      </c>
      <c r="S3" s="6">
        <f>MEDIAN(0.307692,Q3+MEDIAN(-0.350583,O3+NORMSINV(H3)*0.064828*Config!$B$3,0.120277),0.993846)</f>
        <v/>
      </c>
      <c r="T3" s="10">
        <f>ROUND(Config!$B$7+(Config!$B$8-Config!$B$7)*S3,1)</f>
        <v/>
      </c>
      <c r="U3" s="11" t="n"/>
      <c r="V3" s="10">
        <f>IF(U3="",T3,U3)</f>
        <v/>
      </c>
      <c r="W3" s="6">
        <f>MEDIAN(0.05,R3+MEDIAN(-0.302219,P3+NORMSINV(I3)*0.089531*Config!$B$3,0.274961),0.999)</f>
        <v/>
      </c>
      <c r="X3" s="6">
        <f>(INDEX('Earth curves'!$F$2:$F$46,MAX(1,MIN(44,IFERROR(MATCH(W3,'Earth curves'!$E$2:$E$46,1),1))))+(W3-INDEX('Earth curves'!$E$2:$E$46,MAX(1,MIN(44,IFERROR(MATCH(W3,'Earth curves'!$E$2:$E$46,1),1)))))*(INDEX('Earth curves'!$F$2:$F$46,MAX(1,MIN(44,IFERROR(MATCH(W3,'Earth curves'!$E$2:$E$46,1),1)))+1)-INDEX('Earth curves'!$F$2:$F$46,MAX(1,MIN(44,IFERROR(MATCH(W3,'Earth curves'!$E$2:$E$46,1),1)))))/(INDEX('Earth curves'!$E$2:$E$46,MAX(1,MIN(44,IFERROR(MATCH(W3,'Earth curves'!$E$2:$E$46,1),1)))+1)-INDEX('Earth curves'!$E$2:$E$46,MAX(1,MIN(44,IFERROR(MATCH(W3,'Earth curves'!$E$2:$E$46,1),1))))))</f>
        <v/>
      </c>
      <c r="Y3" s="6">
        <f>(INDEX('Earth curves'!$G$2:$G$46,MAX(1,MIN(44,IFERROR(MATCH(W3,'Earth curves'!$E$2:$E$46,1),1))))+(W3-INDEX('Earth curves'!$E$2:$E$46,MAX(1,MIN(44,IFERROR(MATCH(W3,'Earth curves'!$E$2:$E$46,1),1)))))*(INDEX('Earth curves'!$G$2:$G$46,MAX(1,MIN(44,IFERROR(MATCH(W3,'Earth curves'!$E$2:$E$46,1),1)))+1)-INDEX('Earth curves'!$G$2:$G$46,MAX(1,MIN(44,IFERROR(MATCH(W3,'Earth curves'!$E$2:$E$46,1),1)))))/(INDEX('Earth curves'!$E$2:$E$46,MAX(1,MIN(44,IFERROR(MATCH(W3,'Earth curves'!$E$2:$E$46,1),1)))+1)-INDEX('Earth curves'!$E$2:$E$46,MAX(1,MIN(44,IFERROR(MATCH(W3,'Earth curves'!$E$2:$E$46,1),1))))))</f>
        <v/>
      </c>
      <c r="Z3" s="6">
        <f>(MIN(X3/Config!$B$9,1)+MIN(Y3/Config!$B$10,1))/2</f>
        <v/>
      </c>
      <c r="AA3" s="10">
        <f>ROUND(MIN(22,MAX(3,X3*W3/Z3)),1)</f>
        <v/>
      </c>
      <c r="AB3" s="11" t="n"/>
      <c r="AC3" s="10">
        <f>IF(AB3="",AA3,AB3)</f>
        <v/>
      </c>
      <c r="AD3" s="10">
        <f>ROUND(MIN(Config!$B$10,MAX(1,Y3*W3/Z3)),1)</f>
        <v/>
      </c>
      <c r="AE3" s="11" t="n"/>
      <c r="AF3" s="10">
        <f>IF(AE3="",AD3,AE3)</f>
        <v/>
      </c>
      <c r="AG3" s="9">
        <f>(V3-Config!$B$7)/(Config!$B$8-Config!$B$7)</f>
        <v/>
      </c>
      <c r="AH3" s="9">
        <f>(MIN(AC3/Config!$B$9,1)+MIN(AF3/Config!$B$10,1))/2</f>
        <v/>
      </c>
      <c r="AI3" s="12">
        <f>ROUND((AG3*AH3*G3)^(1/3),3)</f>
        <v/>
      </c>
      <c r="AJ3" s="12" t="n">
        <v>0.89</v>
      </c>
      <c r="AK3" s="13">
        <f>AI3-AJ3</f>
        <v/>
      </c>
      <c r="AL3" s="13">
        <f>AK3-AVERAGE($AK$2:$AK$173)</f>
        <v/>
      </c>
      <c r="AM3" s="6">
        <f>IF(ABS(AL3)&gt;Config!$B$11,"REVIEW","")</f>
        <v/>
      </c>
      <c r="AN3" s="14">
        <f>RANK(AI3,$AI$2:$AI$173)</f>
        <v/>
      </c>
      <c r="AO3" s="14">
        <f>RANK(AJ3,$AJ$2:$AJ$173)</f>
        <v/>
      </c>
      <c r="AP3" s="14" t="n">
        <v>3</v>
      </c>
    </row>
    <row r="4">
      <c r="A4" s="6" t="inlineStr">
        <is>
          <t>Aetintio</t>
        </is>
      </c>
      <c r="B4" s="6" t="inlineStr">
        <is>
          <t>Atirha</t>
        </is>
      </c>
      <c r="C4" s="6" t="inlineStr">
        <is>
          <t>—</t>
        </is>
      </c>
      <c r="D4" s="7" t="n">
        <v>58095</v>
      </c>
      <c r="E4" s="8">
        <f>D4*Config!$B$4</f>
        <v/>
      </c>
      <c r="F4" s="6">
        <f>LN(MAX(60,E4))</f>
        <v/>
      </c>
      <c r="G4" s="9">
        <f>MEDIAN(0,(F4-LN(Config!$B$5))/(LN(Config!$B$6)-LN(Config!$B$5)),1)</f>
        <v/>
      </c>
      <c r="H4" s="6">
        <f>MOD((Config!$B$2+$AP4*7919)*9301+49297,233280)/233280</f>
        <v/>
      </c>
      <c r="I4" s="6">
        <f>MOD((Config!$B$2+$AP4*104729)*4096+150889,714025)/714025</f>
        <v/>
      </c>
      <c r="J4" s="6">
        <f>MOD((Config!$B$2*31+$AP4*15485863)*1366+150889,714025)/714025</f>
        <v/>
      </c>
      <c r="K4" s="6" t="n"/>
      <c r="L4" s="6" t="n"/>
      <c r="M4" s="6">
        <f>COUNTIF(Siblings!$A$2:$A$84,B4)</f>
        <v/>
      </c>
      <c r="N4" s="6">
        <f>1+INT(J4*M4)</f>
        <v/>
      </c>
      <c r="O4" s="6">
        <f>IF(K4&lt;&gt;"",K4,IFERROR(INDEX(Siblings!$D$2:$D$84,MATCH(B4&amp;"|"&amp;N4,Siblings!$F$2:$F$84,0)),0))</f>
        <v/>
      </c>
      <c r="P4" s="6">
        <f>IF(L4&lt;&gt;"",L4,IFERROR(INDEX(Siblings!$E$2:$E$84,MATCH(B4&amp;"|"&amp;N4,Siblings!$F$2:$F$84,0)),0))</f>
        <v/>
      </c>
      <c r="Q4" s="6">
        <f>(INDEX('Earth curves'!$B$2:$B$46,MAX(1,MIN(44,IFERROR(MATCH(F4,'Earth curves'!$A$2:$A$46,1),1))))+(F4-INDEX('Earth curves'!$A$2:$A$46,MAX(1,MIN(44,IFERROR(MATCH(F4,'Earth curves'!$A$2:$A$46,1),1)))))*(INDEX('Earth curves'!$B$2:$B$46,MAX(1,MIN(44,IFERROR(MATCH(F4,'Earth curves'!$A$2:$A$46,1),1)))+1)-INDEX('Earth curves'!$B$2:$B$46,MAX(1,MIN(44,IFERROR(MATCH(F4,'Earth curves'!$A$2:$A$46,1),1)))))/(INDEX('Earth curves'!$A$2:$A$46,MAX(1,MIN(44,IFERROR(MATCH(F4,'Earth curves'!$A$2:$A$46,1),1)))+1)-INDEX('Earth curves'!$A$2:$A$46,MAX(1,MIN(44,IFERROR(MATCH(F4,'Earth curves'!$A$2:$A$46,1),1))))))</f>
        <v/>
      </c>
      <c r="R4" s="6">
        <f>(INDEX('Earth curves'!$C$2:$C$46,MAX(1,MIN(44,IFERROR(MATCH(F4,'Earth curves'!$A$2:$A$46,1),1))))+(F4-INDEX('Earth curves'!$A$2:$A$46,MAX(1,MIN(44,IFERROR(MATCH(F4,'Earth curves'!$A$2:$A$46,1),1)))))*(INDEX('Earth curves'!$C$2:$C$46,MAX(1,MIN(44,IFERROR(MATCH(F4,'Earth curves'!$A$2:$A$46,1),1)))+1)-INDEX('Earth curves'!$C$2:$C$46,MAX(1,MIN(44,IFERROR(MATCH(F4,'Earth curves'!$A$2:$A$46,1),1)))))/(INDEX('Earth curves'!$A$2:$A$46,MAX(1,MIN(44,IFERROR(MATCH(F4,'Earth curves'!$A$2:$A$46,1),1)))+1)-INDEX('Earth curves'!$A$2:$A$46,MAX(1,MIN(44,IFERROR(MATCH(F4,'Earth curves'!$A$2:$A$46,1),1))))))</f>
        <v/>
      </c>
      <c r="S4" s="6">
        <f>MEDIAN(0.307692,Q4+MEDIAN(-0.350583,O4+NORMSINV(H4)*0.064828*Config!$B$3,0.120277),0.993846)</f>
        <v/>
      </c>
      <c r="T4" s="10">
        <f>ROUND(Config!$B$7+(Config!$B$8-Config!$B$7)*S4,1)</f>
        <v/>
      </c>
      <c r="U4" s="11" t="n"/>
      <c r="V4" s="10">
        <f>IF(U4="",T4,U4)</f>
        <v/>
      </c>
      <c r="W4" s="6">
        <f>MEDIAN(0.05,R4+MEDIAN(-0.302219,P4+NORMSINV(I4)*0.089531*Config!$B$3,0.274961),0.999)</f>
        <v/>
      </c>
      <c r="X4" s="6">
        <f>(INDEX('Earth curves'!$F$2:$F$46,MAX(1,MIN(44,IFERROR(MATCH(W4,'Earth curves'!$E$2:$E$46,1),1))))+(W4-INDEX('Earth curves'!$E$2:$E$46,MAX(1,MIN(44,IFERROR(MATCH(W4,'Earth curves'!$E$2:$E$46,1),1)))))*(INDEX('Earth curves'!$F$2:$F$46,MAX(1,MIN(44,IFERROR(MATCH(W4,'Earth curves'!$E$2:$E$46,1),1)))+1)-INDEX('Earth curves'!$F$2:$F$46,MAX(1,MIN(44,IFERROR(MATCH(W4,'Earth curves'!$E$2:$E$46,1),1)))))/(INDEX('Earth curves'!$E$2:$E$46,MAX(1,MIN(44,IFERROR(MATCH(W4,'Earth curves'!$E$2:$E$46,1),1)))+1)-INDEX('Earth curves'!$E$2:$E$46,MAX(1,MIN(44,IFERROR(MATCH(W4,'Earth curves'!$E$2:$E$46,1),1))))))</f>
        <v/>
      </c>
      <c r="Y4" s="6">
        <f>(INDEX('Earth curves'!$G$2:$G$46,MAX(1,MIN(44,IFERROR(MATCH(W4,'Earth curves'!$E$2:$E$46,1),1))))+(W4-INDEX('Earth curves'!$E$2:$E$46,MAX(1,MIN(44,IFERROR(MATCH(W4,'Earth curves'!$E$2:$E$46,1),1)))))*(INDEX('Earth curves'!$G$2:$G$46,MAX(1,MIN(44,IFERROR(MATCH(W4,'Earth curves'!$E$2:$E$46,1),1)))+1)-INDEX('Earth curves'!$G$2:$G$46,MAX(1,MIN(44,IFERROR(MATCH(W4,'Earth curves'!$E$2:$E$46,1),1)))))/(INDEX('Earth curves'!$E$2:$E$46,MAX(1,MIN(44,IFERROR(MATCH(W4,'Earth curves'!$E$2:$E$46,1),1)))+1)-INDEX('Earth curves'!$E$2:$E$46,MAX(1,MIN(44,IFERROR(MATCH(W4,'Earth curves'!$E$2:$E$46,1),1))))))</f>
        <v/>
      </c>
      <c r="Z4" s="6">
        <f>(MIN(X4/Config!$B$9,1)+MIN(Y4/Config!$B$10,1))/2</f>
        <v/>
      </c>
      <c r="AA4" s="10">
        <f>ROUND(MIN(22,MAX(3,X4*W4/Z4)),1)</f>
        <v/>
      </c>
      <c r="AB4" s="11" t="n"/>
      <c r="AC4" s="10">
        <f>IF(AB4="",AA4,AB4)</f>
        <v/>
      </c>
      <c r="AD4" s="10">
        <f>ROUND(MIN(Config!$B$10,MAX(1,Y4*W4/Z4)),1)</f>
        <v/>
      </c>
      <c r="AE4" s="11" t="n"/>
      <c r="AF4" s="10">
        <f>IF(AE4="",AD4,AE4)</f>
        <v/>
      </c>
      <c r="AG4" s="9">
        <f>(V4-Config!$B$7)/(Config!$B$8-Config!$B$7)</f>
        <v/>
      </c>
      <c r="AH4" s="9">
        <f>(MIN(AC4/Config!$B$9,1)+MIN(AF4/Config!$B$10,1))/2</f>
        <v/>
      </c>
      <c r="AI4" s="12">
        <f>ROUND((AG4*AH4*G4)^(1/3),3)</f>
        <v/>
      </c>
      <c r="AJ4" s="12" t="n">
        <v>0.8149999999999999</v>
      </c>
      <c r="AK4" s="13">
        <f>AI4-AJ4</f>
        <v/>
      </c>
      <c r="AL4" s="13">
        <f>AK4-AVERAGE($AK$2:$AK$173)</f>
        <v/>
      </c>
      <c r="AM4" s="6">
        <f>IF(ABS(AL4)&gt;Config!$B$11,"REVIEW","")</f>
        <v/>
      </c>
      <c r="AN4" s="14">
        <f>RANK(AI4,$AI$2:$AI$173)</f>
        <v/>
      </c>
      <c r="AO4" s="14">
        <f>RANK(AJ4,$AJ$2:$AJ$173)</f>
        <v/>
      </c>
      <c r="AP4" s="14" t="n">
        <v>4</v>
      </c>
    </row>
    <row r="5">
      <c r="A5" s="6" t="inlineStr">
        <is>
          <t>Ahokini</t>
        </is>
      </c>
      <c r="B5" s="6" t="inlineStr">
        <is>
          <t>Quia</t>
        </is>
      </c>
      <c r="C5" s="6" t="inlineStr">
        <is>
          <t>petro</t>
        </is>
      </c>
      <c r="D5" s="7" t="n">
        <v>185397</v>
      </c>
      <c r="E5" s="8">
        <f>D5*Config!$B$4</f>
        <v/>
      </c>
      <c r="F5" s="6">
        <f>LN(MAX(60,E5))</f>
        <v/>
      </c>
      <c r="G5" s="9">
        <f>MEDIAN(0,(F5-LN(Config!$B$5))/(LN(Config!$B$6)-LN(Config!$B$5)),1)</f>
        <v/>
      </c>
      <c r="H5" s="6">
        <f>MOD((Config!$B$2+$AP5*7919)*9301+49297,233280)/233280</f>
        <v/>
      </c>
      <c r="I5" s="6">
        <f>MOD((Config!$B$2+$AP5*104729)*4096+150889,714025)/714025</f>
        <v/>
      </c>
      <c r="J5" s="6">
        <f>MOD((Config!$B$2*31+$AP5*15485863)*1366+150889,714025)/714025</f>
        <v/>
      </c>
      <c r="K5" s="6" t="n">
        <v>0.048663</v>
      </c>
      <c r="L5" s="6" t="n">
        <v>0.038869</v>
      </c>
      <c r="M5" s="6">
        <f>COUNTIF(Siblings!$A$2:$A$84,B5)</f>
        <v/>
      </c>
      <c r="N5" s="6">
        <f>1+INT(J5*M5)</f>
        <v/>
      </c>
      <c r="O5" s="6">
        <f>IF(K5&lt;&gt;"",K5,IFERROR(INDEX(Siblings!$D$2:$D$84,MATCH(B5&amp;"|"&amp;N5,Siblings!$F$2:$F$84,0)),0))</f>
        <v/>
      </c>
      <c r="P5" s="6">
        <f>IF(L5&lt;&gt;"",L5,IFERROR(INDEX(Siblings!$E$2:$E$84,MATCH(B5&amp;"|"&amp;N5,Siblings!$F$2:$F$84,0)),0))</f>
        <v/>
      </c>
      <c r="Q5" s="6">
        <f>(INDEX('Earth curves'!$B$2:$B$46,MAX(1,MIN(44,IFERROR(MATCH(F5,'Earth curves'!$A$2:$A$46,1),1))))+(F5-INDEX('Earth curves'!$A$2:$A$46,MAX(1,MIN(44,IFERROR(MATCH(F5,'Earth curves'!$A$2:$A$46,1),1)))))*(INDEX('Earth curves'!$B$2:$B$46,MAX(1,MIN(44,IFERROR(MATCH(F5,'Earth curves'!$A$2:$A$46,1),1)))+1)-INDEX('Earth curves'!$B$2:$B$46,MAX(1,MIN(44,IFERROR(MATCH(F5,'Earth curves'!$A$2:$A$46,1),1)))))/(INDEX('Earth curves'!$A$2:$A$46,MAX(1,MIN(44,IFERROR(MATCH(F5,'Earth curves'!$A$2:$A$46,1),1)))+1)-INDEX('Earth curves'!$A$2:$A$46,MAX(1,MIN(44,IFERROR(MATCH(F5,'Earth curves'!$A$2:$A$46,1),1))))))</f>
        <v/>
      </c>
      <c r="R5" s="6">
        <f>(INDEX('Earth curves'!$C$2:$C$46,MAX(1,MIN(44,IFERROR(MATCH(F5,'Earth curves'!$A$2:$A$46,1),1))))+(F5-INDEX('Earth curves'!$A$2:$A$46,MAX(1,MIN(44,IFERROR(MATCH(F5,'Earth curves'!$A$2:$A$46,1),1)))))*(INDEX('Earth curves'!$C$2:$C$46,MAX(1,MIN(44,IFERROR(MATCH(F5,'Earth curves'!$A$2:$A$46,1),1)))+1)-INDEX('Earth curves'!$C$2:$C$46,MAX(1,MIN(44,IFERROR(MATCH(F5,'Earth curves'!$A$2:$A$46,1),1)))))/(INDEX('Earth curves'!$A$2:$A$46,MAX(1,MIN(44,IFERROR(MATCH(F5,'Earth curves'!$A$2:$A$46,1),1)))+1)-INDEX('Earth curves'!$A$2:$A$46,MAX(1,MIN(44,IFERROR(MATCH(F5,'Earth curves'!$A$2:$A$46,1),1))))))</f>
        <v/>
      </c>
      <c r="S5" s="6">
        <f>MEDIAN(0.307692,Q5+MEDIAN(-0.350583,O5+NORMSINV(H5)*0.064828*Config!$B$3,0.120277),0.993846)</f>
        <v/>
      </c>
      <c r="T5" s="10">
        <f>ROUND(Config!$B$7+(Config!$B$8-Config!$B$7)*S5,1)</f>
        <v/>
      </c>
      <c r="U5" s="11" t="n"/>
      <c r="V5" s="10">
        <f>IF(U5="",T5,U5)</f>
        <v/>
      </c>
      <c r="W5" s="6">
        <f>MEDIAN(0.05,R5+MEDIAN(-0.302219,P5+NORMSINV(I5)*0.089531*Config!$B$3,0.274961),0.999)</f>
        <v/>
      </c>
      <c r="X5" s="6">
        <f>(INDEX('Earth curves'!$F$2:$F$46,MAX(1,MIN(44,IFERROR(MATCH(W5,'Earth curves'!$E$2:$E$46,1),1))))+(W5-INDEX('Earth curves'!$E$2:$E$46,MAX(1,MIN(44,IFERROR(MATCH(W5,'Earth curves'!$E$2:$E$46,1),1)))))*(INDEX('Earth curves'!$F$2:$F$46,MAX(1,MIN(44,IFERROR(MATCH(W5,'Earth curves'!$E$2:$E$46,1),1)))+1)-INDEX('Earth curves'!$F$2:$F$46,MAX(1,MIN(44,IFERROR(MATCH(W5,'Earth curves'!$E$2:$E$46,1),1)))))/(INDEX('Earth curves'!$E$2:$E$46,MAX(1,MIN(44,IFERROR(MATCH(W5,'Earth curves'!$E$2:$E$46,1),1)))+1)-INDEX('Earth curves'!$E$2:$E$46,MAX(1,MIN(44,IFERROR(MATCH(W5,'Earth curves'!$E$2:$E$46,1),1))))))</f>
        <v/>
      </c>
      <c r="Y5" s="6">
        <f>(INDEX('Earth curves'!$G$2:$G$46,MAX(1,MIN(44,IFERROR(MATCH(W5,'Earth curves'!$E$2:$E$46,1),1))))+(W5-INDEX('Earth curves'!$E$2:$E$46,MAX(1,MIN(44,IFERROR(MATCH(W5,'Earth curves'!$E$2:$E$46,1),1)))))*(INDEX('Earth curves'!$G$2:$G$46,MAX(1,MIN(44,IFERROR(MATCH(W5,'Earth curves'!$E$2:$E$46,1),1)))+1)-INDEX('Earth curves'!$G$2:$G$46,MAX(1,MIN(44,IFERROR(MATCH(W5,'Earth curves'!$E$2:$E$46,1),1)))))/(INDEX('Earth curves'!$E$2:$E$46,MAX(1,MIN(44,IFERROR(MATCH(W5,'Earth curves'!$E$2:$E$46,1),1)))+1)-INDEX('Earth curves'!$E$2:$E$46,MAX(1,MIN(44,IFERROR(MATCH(W5,'Earth curves'!$E$2:$E$46,1),1))))))</f>
        <v/>
      </c>
      <c r="Z5" s="6">
        <f>(MIN(X5/Config!$B$9,1)+MIN(Y5/Config!$B$10,1))/2</f>
        <v/>
      </c>
      <c r="AA5" s="10">
        <f>ROUND(MIN(22,MAX(3,X5*W5/Z5)),1)</f>
        <v/>
      </c>
      <c r="AB5" s="11" t="n"/>
      <c r="AC5" s="10">
        <f>IF(AB5="",AA5,AB5)</f>
        <v/>
      </c>
      <c r="AD5" s="10">
        <f>ROUND(MIN(Config!$B$10,MAX(1,Y5*W5/Z5)),1)</f>
        <v/>
      </c>
      <c r="AE5" s="11" t="n"/>
      <c r="AF5" s="10">
        <f>IF(AE5="",AD5,AE5)</f>
        <v/>
      </c>
      <c r="AG5" s="9">
        <f>(V5-Config!$B$7)/(Config!$B$8-Config!$B$7)</f>
        <v/>
      </c>
      <c r="AH5" s="9">
        <f>(MIN(AC5/Config!$B$9,1)+MIN(AF5/Config!$B$10,1))/2</f>
        <v/>
      </c>
      <c r="AI5" s="12">
        <f>ROUND((AG5*AH5*G5)^(1/3),3)</f>
        <v/>
      </c>
      <c r="AJ5" s="12" t="n">
        <v>0.88</v>
      </c>
      <c r="AK5" s="13">
        <f>AI5-AJ5</f>
        <v/>
      </c>
      <c r="AL5" s="13">
        <f>AK5-AVERAGE($AK$2:$AK$173)</f>
        <v/>
      </c>
      <c r="AM5" s="6">
        <f>IF(ABS(AL5)&gt;Config!$B$11,"REVIEW","")</f>
        <v/>
      </c>
      <c r="AN5" s="14">
        <f>RANK(AI5,$AI$2:$AI$173)</f>
        <v/>
      </c>
      <c r="AO5" s="14">
        <f>RANK(AJ5,$AJ$2:$AJ$173)</f>
        <v/>
      </c>
      <c r="AP5" s="14" t="n">
        <v>5</v>
      </c>
    </row>
    <row r="6">
      <c r="A6" s="6" t="inlineStr">
        <is>
          <t>Amcha</t>
        </is>
      </c>
      <c r="B6" s="6" t="inlineStr">
        <is>
          <t>Mahea</t>
        </is>
      </c>
      <c r="C6" s="6" t="inlineStr">
        <is>
          <t>militarised, resource</t>
        </is>
      </c>
      <c r="D6" s="7" t="n">
        <v>15333</v>
      </c>
      <c r="E6" s="8">
        <f>D6*Config!$B$4</f>
        <v/>
      </c>
      <c r="F6" s="6">
        <f>LN(MAX(60,E6))</f>
        <v/>
      </c>
      <c r="G6" s="9">
        <f>MEDIAN(0,(F6-LN(Config!$B$5))/(LN(Config!$B$6)-LN(Config!$B$5)),1)</f>
        <v/>
      </c>
      <c r="H6" s="6">
        <f>MOD((Config!$B$2+$AP6*7919)*9301+49297,233280)/233280</f>
        <v/>
      </c>
      <c r="I6" s="6">
        <f>MOD((Config!$B$2+$AP6*104729)*4096+150889,714025)/714025</f>
        <v/>
      </c>
      <c r="J6" s="6">
        <f>MOD((Config!$B$2*31+$AP6*15485863)*1366+150889,714025)/714025</f>
        <v/>
      </c>
      <c r="K6" s="6" t="n"/>
      <c r="L6" s="6" t="n"/>
      <c r="M6" s="6">
        <f>COUNTIF(Siblings!$A$2:$A$84,B6)</f>
        <v/>
      </c>
      <c r="N6" s="6">
        <f>1+INT(J6*M6)</f>
        <v/>
      </c>
      <c r="O6" s="6">
        <f>IF(K6&lt;&gt;"",K6,IFERROR(INDEX(Siblings!$D$2:$D$84,MATCH(B6&amp;"|"&amp;N6,Siblings!$F$2:$F$84,0)),0))</f>
        <v/>
      </c>
      <c r="P6" s="6">
        <f>IF(L6&lt;&gt;"",L6,IFERROR(INDEX(Siblings!$E$2:$E$84,MATCH(B6&amp;"|"&amp;N6,Siblings!$F$2:$F$84,0)),0))</f>
        <v/>
      </c>
      <c r="Q6" s="6">
        <f>(INDEX('Earth curves'!$B$2:$B$46,MAX(1,MIN(44,IFERROR(MATCH(F6,'Earth curves'!$A$2:$A$46,1),1))))+(F6-INDEX('Earth curves'!$A$2:$A$46,MAX(1,MIN(44,IFERROR(MATCH(F6,'Earth curves'!$A$2:$A$46,1),1)))))*(INDEX('Earth curves'!$B$2:$B$46,MAX(1,MIN(44,IFERROR(MATCH(F6,'Earth curves'!$A$2:$A$46,1),1)))+1)-INDEX('Earth curves'!$B$2:$B$46,MAX(1,MIN(44,IFERROR(MATCH(F6,'Earth curves'!$A$2:$A$46,1),1)))))/(INDEX('Earth curves'!$A$2:$A$46,MAX(1,MIN(44,IFERROR(MATCH(F6,'Earth curves'!$A$2:$A$46,1),1)))+1)-INDEX('Earth curves'!$A$2:$A$46,MAX(1,MIN(44,IFERROR(MATCH(F6,'Earth curves'!$A$2:$A$46,1),1))))))</f>
        <v/>
      </c>
      <c r="R6" s="6">
        <f>(INDEX('Earth curves'!$C$2:$C$46,MAX(1,MIN(44,IFERROR(MATCH(F6,'Earth curves'!$A$2:$A$46,1),1))))+(F6-INDEX('Earth curves'!$A$2:$A$46,MAX(1,MIN(44,IFERROR(MATCH(F6,'Earth curves'!$A$2:$A$46,1),1)))))*(INDEX('Earth curves'!$C$2:$C$46,MAX(1,MIN(44,IFERROR(MATCH(F6,'Earth curves'!$A$2:$A$46,1),1)))+1)-INDEX('Earth curves'!$C$2:$C$46,MAX(1,MIN(44,IFERROR(MATCH(F6,'Earth curves'!$A$2:$A$46,1),1)))))/(INDEX('Earth curves'!$A$2:$A$46,MAX(1,MIN(44,IFERROR(MATCH(F6,'Earth curves'!$A$2:$A$46,1),1)))+1)-INDEX('Earth curves'!$A$2:$A$46,MAX(1,MIN(44,IFERROR(MATCH(F6,'Earth curves'!$A$2:$A$46,1),1))))))</f>
        <v/>
      </c>
      <c r="S6" s="6">
        <f>MEDIAN(0.307692,Q6+MEDIAN(-0.350583,O6+NORMSINV(H6)*0.064828*Config!$B$3,0.120277),0.993846)</f>
        <v/>
      </c>
      <c r="T6" s="10">
        <f>ROUND(Config!$B$7+(Config!$B$8-Config!$B$7)*S6,1)</f>
        <v/>
      </c>
      <c r="U6" s="11" t="n"/>
      <c r="V6" s="10">
        <f>IF(U6="",T6,U6)</f>
        <v/>
      </c>
      <c r="W6" s="6">
        <f>MEDIAN(0.05,R6+MEDIAN(-0.302219,P6+NORMSINV(I6)*0.089531*Config!$B$3,0.274961),0.999)</f>
        <v/>
      </c>
      <c r="X6" s="6">
        <f>(INDEX('Earth curves'!$F$2:$F$46,MAX(1,MIN(44,IFERROR(MATCH(W6,'Earth curves'!$E$2:$E$46,1),1))))+(W6-INDEX('Earth curves'!$E$2:$E$46,MAX(1,MIN(44,IFERROR(MATCH(W6,'Earth curves'!$E$2:$E$46,1),1)))))*(INDEX('Earth curves'!$F$2:$F$46,MAX(1,MIN(44,IFERROR(MATCH(W6,'Earth curves'!$E$2:$E$46,1),1)))+1)-INDEX('Earth curves'!$F$2:$F$46,MAX(1,MIN(44,IFERROR(MATCH(W6,'Earth curves'!$E$2:$E$46,1),1)))))/(INDEX('Earth curves'!$E$2:$E$46,MAX(1,MIN(44,IFERROR(MATCH(W6,'Earth curves'!$E$2:$E$46,1),1)))+1)-INDEX('Earth curves'!$E$2:$E$46,MAX(1,MIN(44,IFERROR(MATCH(W6,'Earth curves'!$E$2:$E$46,1),1))))))</f>
        <v/>
      </c>
      <c r="Y6" s="6">
        <f>(INDEX('Earth curves'!$G$2:$G$46,MAX(1,MIN(44,IFERROR(MATCH(W6,'Earth curves'!$E$2:$E$46,1),1))))+(W6-INDEX('Earth curves'!$E$2:$E$46,MAX(1,MIN(44,IFERROR(MATCH(W6,'Earth curves'!$E$2:$E$46,1),1)))))*(INDEX('Earth curves'!$G$2:$G$46,MAX(1,MIN(44,IFERROR(MATCH(W6,'Earth curves'!$E$2:$E$46,1),1)))+1)-INDEX('Earth curves'!$G$2:$G$46,MAX(1,MIN(44,IFERROR(MATCH(W6,'Earth curves'!$E$2:$E$46,1),1)))))/(INDEX('Earth curves'!$E$2:$E$46,MAX(1,MIN(44,IFERROR(MATCH(W6,'Earth curves'!$E$2:$E$46,1),1)))+1)-INDEX('Earth curves'!$E$2:$E$46,MAX(1,MIN(44,IFERROR(MATCH(W6,'Earth curves'!$E$2:$E$46,1),1))))))</f>
        <v/>
      </c>
      <c r="Z6" s="6">
        <f>(MIN(X6/Config!$B$9,1)+MIN(Y6/Config!$B$10,1))/2</f>
        <v/>
      </c>
      <c r="AA6" s="10">
        <f>ROUND(MIN(22,MAX(3,X6*W6/Z6)),1)</f>
        <v/>
      </c>
      <c r="AB6" s="11" t="n"/>
      <c r="AC6" s="10">
        <f>IF(AB6="",AA6,AB6)</f>
        <v/>
      </c>
      <c r="AD6" s="10">
        <f>ROUND(MIN(Config!$B$10,MAX(1,Y6*W6/Z6)),1)</f>
        <v/>
      </c>
      <c r="AE6" s="11" t="n"/>
      <c r="AF6" s="10">
        <f>IF(AE6="",AD6,AE6)</f>
        <v/>
      </c>
      <c r="AG6" s="9">
        <f>(V6-Config!$B$7)/(Config!$B$8-Config!$B$7)</f>
        <v/>
      </c>
      <c r="AH6" s="9">
        <f>(MIN(AC6/Config!$B$9,1)+MIN(AF6/Config!$B$10,1))/2</f>
        <v/>
      </c>
      <c r="AI6" s="12">
        <f>ROUND((AG6*AH6*G6)^(1/3),3)</f>
        <v/>
      </c>
      <c r="AJ6" s="12" t="n">
        <v>0.6879999999999999</v>
      </c>
      <c r="AK6" s="13">
        <f>AI6-AJ6</f>
        <v/>
      </c>
      <c r="AL6" s="13">
        <f>AK6-AVERAGE($AK$2:$AK$173)</f>
        <v/>
      </c>
      <c r="AM6" s="6">
        <f>IF(ABS(AL6)&gt;Config!$B$11,"REVIEW","")</f>
        <v/>
      </c>
      <c r="AN6" s="14">
        <f>RANK(AI6,$AI$2:$AI$173)</f>
        <v/>
      </c>
      <c r="AO6" s="14">
        <f>RANK(AJ6,$AJ$2:$AJ$173)</f>
        <v/>
      </c>
      <c r="AP6" s="14" t="n">
        <v>6</v>
      </c>
    </row>
    <row r="7">
      <c r="A7" s="6" t="inlineStr">
        <is>
          <t>Andsaudare</t>
        </is>
      </c>
      <c r="B7" s="6" t="inlineStr">
        <is>
          <t>New Ayre</t>
        </is>
      </c>
      <c r="C7" s="6" t="inlineStr">
        <is>
          <t>militarised, resource</t>
        </is>
      </c>
      <c r="D7" s="7" t="n">
        <v>48889</v>
      </c>
      <c r="E7" s="8">
        <f>D7*Config!$B$4</f>
        <v/>
      </c>
      <c r="F7" s="6">
        <f>LN(MAX(60,E7))</f>
        <v/>
      </c>
      <c r="G7" s="9">
        <f>MEDIAN(0,(F7-LN(Config!$B$5))/(LN(Config!$B$6)-LN(Config!$B$5)),1)</f>
        <v/>
      </c>
      <c r="H7" s="6">
        <f>MOD((Config!$B$2+$AP7*7919)*9301+49297,233280)/233280</f>
        <v/>
      </c>
      <c r="I7" s="6">
        <f>MOD((Config!$B$2+$AP7*104729)*4096+150889,714025)/714025</f>
        <v/>
      </c>
      <c r="J7" s="6">
        <f>MOD((Config!$B$2*31+$AP7*15485863)*1366+150889,714025)/714025</f>
        <v/>
      </c>
      <c r="K7" s="6" t="n"/>
      <c r="L7" s="6" t="n"/>
      <c r="M7" s="6">
        <f>COUNTIF(Siblings!$A$2:$A$84,B7)</f>
        <v/>
      </c>
      <c r="N7" s="6">
        <f>1+INT(J7*M7)</f>
        <v/>
      </c>
      <c r="O7" s="6">
        <f>IF(K7&lt;&gt;"",K7,IFERROR(INDEX(Siblings!$D$2:$D$84,MATCH(B7&amp;"|"&amp;N7,Siblings!$F$2:$F$84,0)),0))</f>
        <v/>
      </c>
      <c r="P7" s="6">
        <f>IF(L7&lt;&gt;"",L7,IFERROR(INDEX(Siblings!$E$2:$E$84,MATCH(B7&amp;"|"&amp;N7,Siblings!$F$2:$F$84,0)),0))</f>
        <v/>
      </c>
      <c r="Q7" s="6">
        <f>(INDEX('Earth curves'!$B$2:$B$46,MAX(1,MIN(44,IFERROR(MATCH(F7,'Earth curves'!$A$2:$A$46,1),1))))+(F7-INDEX('Earth curves'!$A$2:$A$46,MAX(1,MIN(44,IFERROR(MATCH(F7,'Earth curves'!$A$2:$A$46,1),1)))))*(INDEX('Earth curves'!$B$2:$B$46,MAX(1,MIN(44,IFERROR(MATCH(F7,'Earth curves'!$A$2:$A$46,1),1)))+1)-INDEX('Earth curves'!$B$2:$B$46,MAX(1,MIN(44,IFERROR(MATCH(F7,'Earth curves'!$A$2:$A$46,1),1)))))/(INDEX('Earth curves'!$A$2:$A$46,MAX(1,MIN(44,IFERROR(MATCH(F7,'Earth curves'!$A$2:$A$46,1),1)))+1)-INDEX('Earth curves'!$A$2:$A$46,MAX(1,MIN(44,IFERROR(MATCH(F7,'Earth curves'!$A$2:$A$46,1),1))))))</f>
        <v/>
      </c>
      <c r="R7" s="6">
        <f>(INDEX('Earth curves'!$C$2:$C$46,MAX(1,MIN(44,IFERROR(MATCH(F7,'Earth curves'!$A$2:$A$46,1),1))))+(F7-INDEX('Earth curves'!$A$2:$A$46,MAX(1,MIN(44,IFERROR(MATCH(F7,'Earth curves'!$A$2:$A$46,1),1)))))*(INDEX('Earth curves'!$C$2:$C$46,MAX(1,MIN(44,IFERROR(MATCH(F7,'Earth curves'!$A$2:$A$46,1),1)))+1)-INDEX('Earth curves'!$C$2:$C$46,MAX(1,MIN(44,IFERROR(MATCH(F7,'Earth curves'!$A$2:$A$46,1),1)))))/(INDEX('Earth curves'!$A$2:$A$46,MAX(1,MIN(44,IFERROR(MATCH(F7,'Earth curves'!$A$2:$A$46,1),1)))+1)-INDEX('Earth curves'!$A$2:$A$46,MAX(1,MIN(44,IFERROR(MATCH(F7,'Earth curves'!$A$2:$A$46,1),1))))))</f>
        <v/>
      </c>
      <c r="S7" s="6">
        <f>MEDIAN(0.307692,Q7+MEDIAN(-0.350583,O7+NORMSINV(H7)*0.064828*Config!$B$3,0.120277),0.993846)</f>
        <v/>
      </c>
      <c r="T7" s="10">
        <f>ROUND(Config!$B$7+(Config!$B$8-Config!$B$7)*S7,1)</f>
        <v/>
      </c>
      <c r="U7" s="11" t="n"/>
      <c r="V7" s="10">
        <f>IF(U7="",T7,U7)</f>
        <v/>
      </c>
      <c r="W7" s="6">
        <f>MEDIAN(0.05,R7+MEDIAN(-0.302219,P7+NORMSINV(I7)*0.089531*Config!$B$3,0.274961),0.999)</f>
        <v/>
      </c>
      <c r="X7" s="6">
        <f>(INDEX('Earth curves'!$F$2:$F$46,MAX(1,MIN(44,IFERROR(MATCH(W7,'Earth curves'!$E$2:$E$46,1),1))))+(W7-INDEX('Earth curves'!$E$2:$E$46,MAX(1,MIN(44,IFERROR(MATCH(W7,'Earth curves'!$E$2:$E$46,1),1)))))*(INDEX('Earth curves'!$F$2:$F$46,MAX(1,MIN(44,IFERROR(MATCH(W7,'Earth curves'!$E$2:$E$46,1),1)))+1)-INDEX('Earth curves'!$F$2:$F$46,MAX(1,MIN(44,IFERROR(MATCH(W7,'Earth curves'!$E$2:$E$46,1),1)))))/(INDEX('Earth curves'!$E$2:$E$46,MAX(1,MIN(44,IFERROR(MATCH(W7,'Earth curves'!$E$2:$E$46,1),1)))+1)-INDEX('Earth curves'!$E$2:$E$46,MAX(1,MIN(44,IFERROR(MATCH(W7,'Earth curves'!$E$2:$E$46,1),1))))))</f>
        <v/>
      </c>
      <c r="Y7" s="6">
        <f>(INDEX('Earth curves'!$G$2:$G$46,MAX(1,MIN(44,IFERROR(MATCH(W7,'Earth curves'!$E$2:$E$46,1),1))))+(W7-INDEX('Earth curves'!$E$2:$E$46,MAX(1,MIN(44,IFERROR(MATCH(W7,'Earth curves'!$E$2:$E$46,1),1)))))*(INDEX('Earth curves'!$G$2:$G$46,MAX(1,MIN(44,IFERROR(MATCH(W7,'Earth curves'!$E$2:$E$46,1),1)))+1)-INDEX('Earth curves'!$G$2:$G$46,MAX(1,MIN(44,IFERROR(MATCH(W7,'Earth curves'!$E$2:$E$46,1),1)))))/(INDEX('Earth curves'!$E$2:$E$46,MAX(1,MIN(44,IFERROR(MATCH(W7,'Earth curves'!$E$2:$E$46,1),1)))+1)-INDEX('Earth curves'!$E$2:$E$46,MAX(1,MIN(44,IFERROR(MATCH(W7,'Earth curves'!$E$2:$E$46,1),1))))))</f>
        <v/>
      </c>
      <c r="Z7" s="6">
        <f>(MIN(X7/Config!$B$9,1)+MIN(Y7/Config!$B$10,1))/2</f>
        <v/>
      </c>
      <c r="AA7" s="10">
        <f>ROUND(MIN(22,MAX(3,X7*W7/Z7)),1)</f>
        <v/>
      </c>
      <c r="AB7" s="11" t="n"/>
      <c r="AC7" s="10">
        <f>IF(AB7="",AA7,AB7)</f>
        <v/>
      </c>
      <c r="AD7" s="10">
        <f>ROUND(MIN(Config!$B$10,MAX(1,Y7*W7/Z7)),1)</f>
        <v/>
      </c>
      <c r="AE7" s="11" t="n"/>
      <c r="AF7" s="10">
        <f>IF(AE7="",AD7,AE7)</f>
        <v/>
      </c>
      <c r="AG7" s="9">
        <f>(V7-Config!$B$7)/(Config!$B$8-Config!$B$7)</f>
        <v/>
      </c>
      <c r="AH7" s="9">
        <f>(MIN(AC7/Config!$B$9,1)+MIN(AF7/Config!$B$10,1))/2</f>
        <v/>
      </c>
      <c r="AI7" s="12">
        <f>ROUND((AG7*AH7*G7)^(1/3),3)</f>
        <v/>
      </c>
      <c r="AJ7" s="12" t="n">
        <v>0.803</v>
      </c>
      <c r="AK7" s="13">
        <f>AI7-AJ7</f>
        <v/>
      </c>
      <c r="AL7" s="13">
        <f>AK7-AVERAGE($AK$2:$AK$173)</f>
        <v/>
      </c>
      <c r="AM7" s="6">
        <f>IF(ABS(AL7)&gt;Config!$B$11,"REVIEW","")</f>
        <v/>
      </c>
      <c r="AN7" s="14">
        <f>RANK(AI7,$AI$2:$AI$173)</f>
        <v/>
      </c>
      <c r="AO7" s="14">
        <f>RANK(AJ7,$AJ$2:$AJ$173)</f>
        <v/>
      </c>
      <c r="AP7" s="14" t="n">
        <v>7</v>
      </c>
    </row>
    <row r="8">
      <c r="A8" s="6" t="inlineStr">
        <is>
          <t>Anymna</t>
        </is>
      </c>
      <c r="B8" s="6" t="inlineStr">
        <is>
          <t>Quia</t>
        </is>
      </c>
      <c r="C8" s="6" t="inlineStr">
        <is>
          <t>resource</t>
        </is>
      </c>
      <c r="D8" s="7" t="n">
        <v>86032</v>
      </c>
      <c r="E8" s="8">
        <f>D8*Config!$B$4</f>
        <v/>
      </c>
      <c r="F8" s="6">
        <f>LN(MAX(60,E8))</f>
        <v/>
      </c>
      <c r="G8" s="9">
        <f>MEDIAN(0,(F8-LN(Config!$B$5))/(LN(Config!$B$6)-LN(Config!$B$5)),1)</f>
        <v/>
      </c>
      <c r="H8" s="6">
        <f>MOD((Config!$B$2+$AP8*7919)*9301+49297,233280)/233280</f>
        <v/>
      </c>
      <c r="I8" s="6">
        <f>MOD((Config!$B$2+$AP8*104729)*4096+150889,714025)/714025</f>
        <v/>
      </c>
      <c r="J8" s="6">
        <f>MOD((Config!$B$2*31+$AP8*15485863)*1366+150889,714025)/714025</f>
        <v/>
      </c>
      <c r="K8" s="6" t="n"/>
      <c r="L8" s="6" t="n"/>
      <c r="M8" s="6">
        <f>COUNTIF(Siblings!$A$2:$A$84,B8)</f>
        <v/>
      </c>
      <c r="N8" s="6">
        <f>1+INT(J8*M8)</f>
        <v/>
      </c>
      <c r="O8" s="6">
        <f>IF(K8&lt;&gt;"",K8,IFERROR(INDEX(Siblings!$D$2:$D$84,MATCH(B8&amp;"|"&amp;N8,Siblings!$F$2:$F$84,0)),0))</f>
        <v/>
      </c>
      <c r="P8" s="6">
        <f>IF(L8&lt;&gt;"",L8,IFERROR(INDEX(Siblings!$E$2:$E$84,MATCH(B8&amp;"|"&amp;N8,Siblings!$F$2:$F$84,0)),0))</f>
        <v/>
      </c>
      <c r="Q8" s="6">
        <f>(INDEX('Earth curves'!$B$2:$B$46,MAX(1,MIN(44,IFERROR(MATCH(F8,'Earth curves'!$A$2:$A$46,1),1))))+(F8-INDEX('Earth curves'!$A$2:$A$46,MAX(1,MIN(44,IFERROR(MATCH(F8,'Earth curves'!$A$2:$A$46,1),1)))))*(INDEX('Earth curves'!$B$2:$B$46,MAX(1,MIN(44,IFERROR(MATCH(F8,'Earth curves'!$A$2:$A$46,1),1)))+1)-INDEX('Earth curves'!$B$2:$B$46,MAX(1,MIN(44,IFERROR(MATCH(F8,'Earth curves'!$A$2:$A$46,1),1)))))/(INDEX('Earth curves'!$A$2:$A$46,MAX(1,MIN(44,IFERROR(MATCH(F8,'Earth curves'!$A$2:$A$46,1),1)))+1)-INDEX('Earth curves'!$A$2:$A$46,MAX(1,MIN(44,IFERROR(MATCH(F8,'Earth curves'!$A$2:$A$46,1),1))))))</f>
        <v/>
      </c>
      <c r="R8" s="6">
        <f>(INDEX('Earth curves'!$C$2:$C$46,MAX(1,MIN(44,IFERROR(MATCH(F8,'Earth curves'!$A$2:$A$46,1),1))))+(F8-INDEX('Earth curves'!$A$2:$A$46,MAX(1,MIN(44,IFERROR(MATCH(F8,'Earth curves'!$A$2:$A$46,1),1)))))*(INDEX('Earth curves'!$C$2:$C$46,MAX(1,MIN(44,IFERROR(MATCH(F8,'Earth curves'!$A$2:$A$46,1),1)))+1)-INDEX('Earth curves'!$C$2:$C$46,MAX(1,MIN(44,IFERROR(MATCH(F8,'Earth curves'!$A$2:$A$46,1),1)))))/(INDEX('Earth curves'!$A$2:$A$46,MAX(1,MIN(44,IFERROR(MATCH(F8,'Earth curves'!$A$2:$A$46,1),1)))+1)-INDEX('Earth curves'!$A$2:$A$46,MAX(1,MIN(44,IFERROR(MATCH(F8,'Earth curves'!$A$2:$A$46,1),1))))))</f>
        <v/>
      </c>
      <c r="S8" s="6">
        <f>MEDIAN(0.307692,Q8+MEDIAN(-0.350583,O8+NORMSINV(H8)*0.064828*Config!$B$3,0.120277),0.993846)</f>
        <v/>
      </c>
      <c r="T8" s="10">
        <f>ROUND(Config!$B$7+(Config!$B$8-Config!$B$7)*S8,1)</f>
        <v/>
      </c>
      <c r="U8" s="11" t="n"/>
      <c r="V8" s="10">
        <f>IF(U8="",T8,U8)</f>
        <v/>
      </c>
      <c r="W8" s="6">
        <f>MEDIAN(0.05,R8+MEDIAN(-0.302219,P8+NORMSINV(I8)*0.089531*Config!$B$3,0.274961),0.999)</f>
        <v/>
      </c>
      <c r="X8" s="6">
        <f>(INDEX('Earth curves'!$F$2:$F$46,MAX(1,MIN(44,IFERROR(MATCH(W8,'Earth curves'!$E$2:$E$46,1),1))))+(W8-INDEX('Earth curves'!$E$2:$E$46,MAX(1,MIN(44,IFERROR(MATCH(W8,'Earth curves'!$E$2:$E$46,1),1)))))*(INDEX('Earth curves'!$F$2:$F$46,MAX(1,MIN(44,IFERROR(MATCH(W8,'Earth curves'!$E$2:$E$46,1),1)))+1)-INDEX('Earth curves'!$F$2:$F$46,MAX(1,MIN(44,IFERROR(MATCH(W8,'Earth curves'!$E$2:$E$46,1),1)))))/(INDEX('Earth curves'!$E$2:$E$46,MAX(1,MIN(44,IFERROR(MATCH(W8,'Earth curves'!$E$2:$E$46,1),1)))+1)-INDEX('Earth curves'!$E$2:$E$46,MAX(1,MIN(44,IFERROR(MATCH(W8,'Earth curves'!$E$2:$E$46,1),1))))))</f>
        <v/>
      </c>
      <c r="Y8" s="6">
        <f>(INDEX('Earth curves'!$G$2:$G$46,MAX(1,MIN(44,IFERROR(MATCH(W8,'Earth curves'!$E$2:$E$46,1),1))))+(W8-INDEX('Earth curves'!$E$2:$E$46,MAX(1,MIN(44,IFERROR(MATCH(W8,'Earth curves'!$E$2:$E$46,1),1)))))*(INDEX('Earth curves'!$G$2:$G$46,MAX(1,MIN(44,IFERROR(MATCH(W8,'Earth curves'!$E$2:$E$46,1),1)))+1)-INDEX('Earth curves'!$G$2:$G$46,MAX(1,MIN(44,IFERROR(MATCH(W8,'Earth curves'!$E$2:$E$46,1),1)))))/(INDEX('Earth curves'!$E$2:$E$46,MAX(1,MIN(44,IFERROR(MATCH(W8,'Earth curves'!$E$2:$E$46,1),1)))+1)-INDEX('Earth curves'!$E$2:$E$46,MAX(1,MIN(44,IFERROR(MATCH(W8,'Earth curves'!$E$2:$E$46,1),1))))))</f>
        <v/>
      </c>
      <c r="Z8" s="6">
        <f>(MIN(X8/Config!$B$9,1)+MIN(Y8/Config!$B$10,1))/2</f>
        <v/>
      </c>
      <c r="AA8" s="10">
        <f>ROUND(MIN(22,MAX(3,X8*W8/Z8)),1)</f>
        <v/>
      </c>
      <c r="AB8" s="11" t="n"/>
      <c r="AC8" s="10">
        <f>IF(AB8="",AA8,AB8)</f>
        <v/>
      </c>
      <c r="AD8" s="10">
        <f>ROUND(MIN(Config!$B$10,MAX(1,Y8*W8/Z8)),1)</f>
        <v/>
      </c>
      <c r="AE8" s="11" t="n"/>
      <c r="AF8" s="10">
        <f>IF(AE8="",AD8,AE8)</f>
        <v/>
      </c>
      <c r="AG8" s="9">
        <f>(V8-Config!$B$7)/(Config!$B$8-Config!$B$7)</f>
        <v/>
      </c>
      <c r="AH8" s="9">
        <f>(MIN(AC8/Config!$B$9,1)+MIN(AF8/Config!$B$10,1))/2</f>
        <v/>
      </c>
      <c r="AI8" s="12">
        <f>ROUND((AG8*AH8*G8)^(1/3),3)</f>
        <v/>
      </c>
      <c r="AJ8" s="12" t="n">
        <v>0.79</v>
      </c>
      <c r="AK8" s="13">
        <f>AI8-AJ8</f>
        <v/>
      </c>
      <c r="AL8" s="13">
        <f>AK8-AVERAGE($AK$2:$AK$173)</f>
        <v/>
      </c>
      <c r="AM8" s="6">
        <f>IF(ABS(AL8)&gt;Config!$B$11,"REVIEW","")</f>
        <v/>
      </c>
      <c r="AN8" s="14">
        <f>RANK(AI8,$AI$2:$AI$173)</f>
        <v/>
      </c>
      <c r="AO8" s="14">
        <f>RANK(AJ8,$AJ$2:$AJ$173)</f>
        <v/>
      </c>
      <c r="AP8" s="14" t="n">
        <v>8</v>
      </c>
    </row>
    <row r="9">
      <c r="A9" s="6" t="inlineStr">
        <is>
          <t>Aplasia</t>
        </is>
      </c>
      <c r="B9" s="6" t="inlineStr">
        <is>
          <t>New Ayre</t>
        </is>
      </c>
      <c r="C9" s="6" t="inlineStr">
        <is>
          <t>—</t>
        </is>
      </c>
      <c r="D9" s="7" t="n">
        <v>151746</v>
      </c>
      <c r="E9" s="8">
        <f>D9*Config!$B$4</f>
        <v/>
      </c>
      <c r="F9" s="6">
        <f>LN(MAX(60,E9))</f>
        <v/>
      </c>
      <c r="G9" s="9">
        <f>MEDIAN(0,(F9-LN(Config!$B$5))/(LN(Config!$B$6)-LN(Config!$B$5)),1)</f>
        <v/>
      </c>
      <c r="H9" s="6">
        <f>MOD((Config!$B$2+$AP9*7919)*9301+49297,233280)/233280</f>
        <v/>
      </c>
      <c r="I9" s="6">
        <f>MOD((Config!$B$2+$AP9*104729)*4096+150889,714025)/714025</f>
        <v/>
      </c>
      <c r="J9" s="6">
        <f>MOD((Config!$B$2*31+$AP9*15485863)*1366+150889,714025)/714025</f>
        <v/>
      </c>
      <c r="K9" s="6" t="n"/>
      <c r="L9" s="6" t="n"/>
      <c r="M9" s="6">
        <f>COUNTIF(Siblings!$A$2:$A$84,B9)</f>
        <v/>
      </c>
      <c r="N9" s="6">
        <f>1+INT(J9*M9)</f>
        <v/>
      </c>
      <c r="O9" s="6">
        <f>IF(K9&lt;&gt;"",K9,IFERROR(INDEX(Siblings!$D$2:$D$84,MATCH(B9&amp;"|"&amp;N9,Siblings!$F$2:$F$84,0)),0))</f>
        <v/>
      </c>
      <c r="P9" s="6">
        <f>IF(L9&lt;&gt;"",L9,IFERROR(INDEX(Siblings!$E$2:$E$84,MATCH(B9&amp;"|"&amp;N9,Siblings!$F$2:$F$84,0)),0))</f>
        <v/>
      </c>
      <c r="Q9" s="6">
        <f>(INDEX('Earth curves'!$B$2:$B$46,MAX(1,MIN(44,IFERROR(MATCH(F9,'Earth curves'!$A$2:$A$46,1),1))))+(F9-INDEX('Earth curves'!$A$2:$A$46,MAX(1,MIN(44,IFERROR(MATCH(F9,'Earth curves'!$A$2:$A$46,1),1)))))*(INDEX('Earth curves'!$B$2:$B$46,MAX(1,MIN(44,IFERROR(MATCH(F9,'Earth curves'!$A$2:$A$46,1),1)))+1)-INDEX('Earth curves'!$B$2:$B$46,MAX(1,MIN(44,IFERROR(MATCH(F9,'Earth curves'!$A$2:$A$46,1),1)))))/(INDEX('Earth curves'!$A$2:$A$46,MAX(1,MIN(44,IFERROR(MATCH(F9,'Earth curves'!$A$2:$A$46,1),1)))+1)-INDEX('Earth curves'!$A$2:$A$46,MAX(1,MIN(44,IFERROR(MATCH(F9,'Earth curves'!$A$2:$A$46,1),1))))))</f>
        <v/>
      </c>
      <c r="R9" s="6">
        <f>(INDEX('Earth curves'!$C$2:$C$46,MAX(1,MIN(44,IFERROR(MATCH(F9,'Earth curves'!$A$2:$A$46,1),1))))+(F9-INDEX('Earth curves'!$A$2:$A$46,MAX(1,MIN(44,IFERROR(MATCH(F9,'Earth curves'!$A$2:$A$46,1),1)))))*(INDEX('Earth curves'!$C$2:$C$46,MAX(1,MIN(44,IFERROR(MATCH(F9,'Earth curves'!$A$2:$A$46,1),1)))+1)-INDEX('Earth curves'!$C$2:$C$46,MAX(1,MIN(44,IFERROR(MATCH(F9,'Earth curves'!$A$2:$A$46,1),1)))))/(INDEX('Earth curves'!$A$2:$A$46,MAX(1,MIN(44,IFERROR(MATCH(F9,'Earth curves'!$A$2:$A$46,1),1)))+1)-INDEX('Earth curves'!$A$2:$A$46,MAX(1,MIN(44,IFERROR(MATCH(F9,'Earth curves'!$A$2:$A$46,1),1))))))</f>
        <v/>
      </c>
      <c r="S9" s="6">
        <f>MEDIAN(0.307692,Q9+MEDIAN(-0.350583,O9+NORMSINV(H9)*0.064828*Config!$B$3,0.120277),0.993846)</f>
        <v/>
      </c>
      <c r="T9" s="10">
        <f>ROUND(Config!$B$7+(Config!$B$8-Config!$B$7)*S9,1)</f>
        <v/>
      </c>
      <c r="U9" s="11" t="n"/>
      <c r="V9" s="10">
        <f>IF(U9="",T9,U9)</f>
        <v/>
      </c>
      <c r="W9" s="6">
        <f>MEDIAN(0.05,R9+MEDIAN(-0.302219,P9+NORMSINV(I9)*0.089531*Config!$B$3,0.274961),0.999)</f>
        <v/>
      </c>
      <c r="X9" s="6">
        <f>(INDEX('Earth curves'!$F$2:$F$46,MAX(1,MIN(44,IFERROR(MATCH(W9,'Earth curves'!$E$2:$E$46,1),1))))+(W9-INDEX('Earth curves'!$E$2:$E$46,MAX(1,MIN(44,IFERROR(MATCH(W9,'Earth curves'!$E$2:$E$46,1),1)))))*(INDEX('Earth curves'!$F$2:$F$46,MAX(1,MIN(44,IFERROR(MATCH(W9,'Earth curves'!$E$2:$E$46,1),1)))+1)-INDEX('Earth curves'!$F$2:$F$46,MAX(1,MIN(44,IFERROR(MATCH(W9,'Earth curves'!$E$2:$E$46,1),1)))))/(INDEX('Earth curves'!$E$2:$E$46,MAX(1,MIN(44,IFERROR(MATCH(W9,'Earth curves'!$E$2:$E$46,1),1)))+1)-INDEX('Earth curves'!$E$2:$E$46,MAX(1,MIN(44,IFERROR(MATCH(W9,'Earth curves'!$E$2:$E$46,1),1))))))</f>
        <v/>
      </c>
      <c r="Y9" s="6">
        <f>(INDEX('Earth curves'!$G$2:$G$46,MAX(1,MIN(44,IFERROR(MATCH(W9,'Earth curves'!$E$2:$E$46,1),1))))+(W9-INDEX('Earth curves'!$E$2:$E$46,MAX(1,MIN(44,IFERROR(MATCH(W9,'Earth curves'!$E$2:$E$46,1),1)))))*(INDEX('Earth curves'!$G$2:$G$46,MAX(1,MIN(44,IFERROR(MATCH(W9,'Earth curves'!$E$2:$E$46,1),1)))+1)-INDEX('Earth curves'!$G$2:$G$46,MAX(1,MIN(44,IFERROR(MATCH(W9,'Earth curves'!$E$2:$E$46,1),1)))))/(INDEX('Earth curves'!$E$2:$E$46,MAX(1,MIN(44,IFERROR(MATCH(W9,'Earth curves'!$E$2:$E$46,1),1)))+1)-INDEX('Earth curves'!$E$2:$E$46,MAX(1,MIN(44,IFERROR(MATCH(W9,'Earth curves'!$E$2:$E$46,1),1))))))</f>
        <v/>
      </c>
      <c r="Z9" s="6">
        <f>(MIN(X9/Config!$B$9,1)+MIN(Y9/Config!$B$10,1))/2</f>
        <v/>
      </c>
      <c r="AA9" s="10">
        <f>ROUND(MIN(22,MAX(3,X9*W9/Z9)),1)</f>
        <v/>
      </c>
      <c r="AB9" s="11" t="n"/>
      <c r="AC9" s="10">
        <f>IF(AB9="",AA9,AB9)</f>
        <v/>
      </c>
      <c r="AD9" s="10">
        <f>ROUND(MIN(Config!$B$10,MAX(1,Y9*W9/Z9)),1)</f>
        <v/>
      </c>
      <c r="AE9" s="11" t="n"/>
      <c r="AF9" s="10">
        <f>IF(AE9="",AD9,AE9)</f>
        <v/>
      </c>
      <c r="AG9" s="9">
        <f>(V9-Config!$B$7)/(Config!$B$8-Config!$B$7)</f>
        <v/>
      </c>
      <c r="AH9" s="9">
        <f>(MIN(AC9/Config!$B$9,1)+MIN(AF9/Config!$B$10,1))/2</f>
        <v/>
      </c>
      <c r="AI9" s="12">
        <f>ROUND((AG9*AH9*G9)^(1/3),3)</f>
        <v/>
      </c>
      <c r="AJ9" s="12" t="n">
        <v>0.763</v>
      </c>
      <c r="AK9" s="13">
        <f>AI9-AJ9</f>
        <v/>
      </c>
      <c r="AL9" s="13">
        <f>AK9-AVERAGE($AK$2:$AK$173)</f>
        <v/>
      </c>
      <c r="AM9" s="6">
        <f>IF(ABS(AL9)&gt;Config!$B$11,"REVIEW","")</f>
        <v/>
      </c>
      <c r="AN9" s="14">
        <f>RANK(AI9,$AI$2:$AI$173)</f>
        <v/>
      </c>
      <c r="AO9" s="14">
        <f>RANK(AJ9,$AJ$2:$AJ$173)</f>
        <v/>
      </c>
      <c r="AP9" s="14" t="n">
        <v>9</v>
      </c>
    </row>
    <row r="10">
      <c r="A10" s="6" t="inlineStr">
        <is>
          <t>Arbiya</t>
        </is>
      </c>
      <c r="B10" s="6" t="inlineStr">
        <is>
          <t>Atirha</t>
        </is>
      </c>
      <c r="C10" s="6" t="inlineStr">
        <is>
          <t>resource</t>
        </is>
      </c>
      <c r="D10" s="7" t="n">
        <v>116825</v>
      </c>
      <c r="E10" s="8">
        <f>D10*Config!$B$4</f>
        <v/>
      </c>
      <c r="F10" s="6">
        <f>LN(MAX(60,E10))</f>
        <v/>
      </c>
      <c r="G10" s="9">
        <f>MEDIAN(0,(F10-LN(Config!$B$5))/(LN(Config!$B$6)-LN(Config!$B$5)),1)</f>
        <v/>
      </c>
      <c r="H10" s="6">
        <f>MOD((Config!$B$2+$AP10*7919)*9301+49297,233280)/233280</f>
        <v/>
      </c>
      <c r="I10" s="6">
        <f>MOD((Config!$B$2+$AP10*104729)*4096+150889,714025)/714025</f>
        <v/>
      </c>
      <c r="J10" s="6">
        <f>MOD((Config!$B$2*31+$AP10*15485863)*1366+150889,714025)/714025</f>
        <v/>
      </c>
      <c r="K10" s="6" t="n">
        <v>-0.043414</v>
      </c>
      <c r="L10" s="6" t="n">
        <v>0.06729</v>
      </c>
      <c r="M10" s="6">
        <f>COUNTIF(Siblings!$A$2:$A$84,B10)</f>
        <v/>
      </c>
      <c r="N10" s="6">
        <f>1+INT(J10*M10)</f>
        <v/>
      </c>
      <c r="O10" s="6">
        <f>IF(K10&lt;&gt;"",K10,IFERROR(INDEX(Siblings!$D$2:$D$84,MATCH(B10&amp;"|"&amp;N10,Siblings!$F$2:$F$84,0)),0))</f>
        <v/>
      </c>
      <c r="P10" s="6">
        <f>IF(L10&lt;&gt;"",L10,IFERROR(INDEX(Siblings!$E$2:$E$84,MATCH(B10&amp;"|"&amp;N10,Siblings!$F$2:$F$84,0)),0))</f>
        <v/>
      </c>
      <c r="Q10" s="6">
        <f>(INDEX('Earth curves'!$B$2:$B$46,MAX(1,MIN(44,IFERROR(MATCH(F10,'Earth curves'!$A$2:$A$46,1),1))))+(F10-INDEX('Earth curves'!$A$2:$A$46,MAX(1,MIN(44,IFERROR(MATCH(F10,'Earth curves'!$A$2:$A$46,1),1)))))*(INDEX('Earth curves'!$B$2:$B$46,MAX(1,MIN(44,IFERROR(MATCH(F10,'Earth curves'!$A$2:$A$46,1),1)))+1)-INDEX('Earth curves'!$B$2:$B$46,MAX(1,MIN(44,IFERROR(MATCH(F10,'Earth curves'!$A$2:$A$46,1),1)))))/(INDEX('Earth curves'!$A$2:$A$46,MAX(1,MIN(44,IFERROR(MATCH(F10,'Earth curves'!$A$2:$A$46,1),1)))+1)-INDEX('Earth curves'!$A$2:$A$46,MAX(1,MIN(44,IFERROR(MATCH(F10,'Earth curves'!$A$2:$A$46,1),1))))))</f>
        <v/>
      </c>
      <c r="R10" s="6">
        <f>(INDEX('Earth curves'!$C$2:$C$46,MAX(1,MIN(44,IFERROR(MATCH(F10,'Earth curves'!$A$2:$A$46,1),1))))+(F10-INDEX('Earth curves'!$A$2:$A$46,MAX(1,MIN(44,IFERROR(MATCH(F10,'Earth curves'!$A$2:$A$46,1),1)))))*(INDEX('Earth curves'!$C$2:$C$46,MAX(1,MIN(44,IFERROR(MATCH(F10,'Earth curves'!$A$2:$A$46,1),1)))+1)-INDEX('Earth curves'!$C$2:$C$46,MAX(1,MIN(44,IFERROR(MATCH(F10,'Earth curves'!$A$2:$A$46,1),1)))))/(INDEX('Earth curves'!$A$2:$A$46,MAX(1,MIN(44,IFERROR(MATCH(F10,'Earth curves'!$A$2:$A$46,1),1)))+1)-INDEX('Earth curves'!$A$2:$A$46,MAX(1,MIN(44,IFERROR(MATCH(F10,'Earth curves'!$A$2:$A$46,1),1))))))</f>
        <v/>
      </c>
      <c r="S10" s="6">
        <f>MEDIAN(0.307692,Q10+MEDIAN(-0.350583,O10+NORMSINV(H10)*0.064828*Config!$B$3,0.120277),0.993846)</f>
        <v/>
      </c>
      <c r="T10" s="10">
        <f>ROUND(Config!$B$7+(Config!$B$8-Config!$B$7)*S10,1)</f>
        <v/>
      </c>
      <c r="U10" s="11" t="n"/>
      <c r="V10" s="10">
        <f>IF(U10="",T10,U10)</f>
        <v/>
      </c>
      <c r="W10" s="6">
        <f>MEDIAN(0.05,R10+MEDIAN(-0.302219,P10+NORMSINV(I10)*0.089531*Config!$B$3,0.274961),0.999)</f>
        <v/>
      </c>
      <c r="X10" s="6">
        <f>(INDEX('Earth curves'!$F$2:$F$46,MAX(1,MIN(44,IFERROR(MATCH(W10,'Earth curves'!$E$2:$E$46,1),1))))+(W10-INDEX('Earth curves'!$E$2:$E$46,MAX(1,MIN(44,IFERROR(MATCH(W10,'Earth curves'!$E$2:$E$46,1),1)))))*(INDEX('Earth curves'!$F$2:$F$46,MAX(1,MIN(44,IFERROR(MATCH(W10,'Earth curves'!$E$2:$E$46,1),1)))+1)-INDEX('Earth curves'!$F$2:$F$46,MAX(1,MIN(44,IFERROR(MATCH(W10,'Earth curves'!$E$2:$E$46,1),1)))))/(INDEX('Earth curves'!$E$2:$E$46,MAX(1,MIN(44,IFERROR(MATCH(W10,'Earth curves'!$E$2:$E$46,1),1)))+1)-INDEX('Earth curves'!$E$2:$E$46,MAX(1,MIN(44,IFERROR(MATCH(W10,'Earth curves'!$E$2:$E$46,1),1))))))</f>
        <v/>
      </c>
      <c r="Y10" s="6">
        <f>(INDEX('Earth curves'!$G$2:$G$46,MAX(1,MIN(44,IFERROR(MATCH(W10,'Earth curves'!$E$2:$E$46,1),1))))+(W10-INDEX('Earth curves'!$E$2:$E$46,MAX(1,MIN(44,IFERROR(MATCH(W10,'Earth curves'!$E$2:$E$46,1),1)))))*(INDEX('Earth curves'!$G$2:$G$46,MAX(1,MIN(44,IFERROR(MATCH(W10,'Earth curves'!$E$2:$E$46,1),1)))+1)-INDEX('Earth curves'!$G$2:$G$46,MAX(1,MIN(44,IFERROR(MATCH(W10,'Earth curves'!$E$2:$E$46,1),1)))))/(INDEX('Earth curves'!$E$2:$E$46,MAX(1,MIN(44,IFERROR(MATCH(W10,'Earth curves'!$E$2:$E$46,1),1)))+1)-INDEX('Earth curves'!$E$2:$E$46,MAX(1,MIN(44,IFERROR(MATCH(W10,'Earth curves'!$E$2:$E$46,1),1))))))</f>
        <v/>
      </c>
      <c r="Z10" s="6">
        <f>(MIN(X10/Config!$B$9,1)+MIN(Y10/Config!$B$10,1))/2</f>
        <v/>
      </c>
      <c r="AA10" s="10">
        <f>ROUND(MIN(22,MAX(3,X10*W10/Z10)),1)</f>
        <v/>
      </c>
      <c r="AB10" s="11" t="n"/>
      <c r="AC10" s="10">
        <f>IF(AB10="",AA10,AB10)</f>
        <v/>
      </c>
      <c r="AD10" s="10">
        <f>ROUND(MIN(Config!$B$10,MAX(1,Y10*W10/Z10)),1)</f>
        <v/>
      </c>
      <c r="AE10" s="11" t="n"/>
      <c r="AF10" s="10">
        <f>IF(AE10="",AD10,AE10)</f>
        <v/>
      </c>
      <c r="AG10" s="9">
        <f>(V10-Config!$B$7)/(Config!$B$8-Config!$B$7)</f>
        <v/>
      </c>
      <c r="AH10" s="9">
        <f>(MIN(AC10/Config!$B$9,1)+MIN(AF10/Config!$B$10,1))/2</f>
        <v/>
      </c>
      <c r="AI10" s="12">
        <f>ROUND((AG10*AH10*G10)^(1/3),3)</f>
        <v/>
      </c>
      <c r="AJ10" s="12" t="n">
        <v>0.862</v>
      </c>
      <c r="AK10" s="13">
        <f>AI10-AJ10</f>
        <v/>
      </c>
      <c r="AL10" s="13">
        <f>AK10-AVERAGE($AK$2:$AK$173)</f>
        <v/>
      </c>
      <c r="AM10" s="6">
        <f>IF(ABS(AL10)&gt;Config!$B$11,"REVIEW","")</f>
        <v/>
      </c>
      <c r="AN10" s="14">
        <f>RANK(AI10,$AI$2:$AI$173)</f>
        <v/>
      </c>
      <c r="AO10" s="14">
        <f>RANK(AJ10,$AJ$2:$AJ$173)</f>
        <v/>
      </c>
      <c r="AP10" s="14" t="n">
        <v>10</v>
      </c>
    </row>
    <row r="11">
      <c r="A11" s="6" t="inlineStr">
        <is>
          <t>Areoix Lie</t>
        </is>
      </c>
      <c r="B11" s="6" t="inlineStr">
        <is>
          <t>Acrola</t>
        </is>
      </c>
      <c r="C11" s="6" t="inlineStr">
        <is>
          <t>petro, resource, tradehub, university</t>
        </is>
      </c>
      <c r="D11" s="7" t="n">
        <v>63492</v>
      </c>
      <c r="E11" s="8">
        <f>D11*Config!$B$4</f>
        <v/>
      </c>
      <c r="F11" s="6">
        <f>LN(MAX(60,E11))</f>
        <v/>
      </c>
      <c r="G11" s="9">
        <f>MEDIAN(0,(F11-LN(Config!$B$5))/(LN(Config!$B$6)-LN(Config!$B$5)),1)</f>
        <v/>
      </c>
      <c r="H11" s="6">
        <f>MOD((Config!$B$2+$AP11*7919)*9301+49297,233280)/233280</f>
        <v/>
      </c>
      <c r="I11" s="6">
        <f>MOD((Config!$B$2+$AP11*104729)*4096+150889,714025)/714025</f>
        <v/>
      </c>
      <c r="J11" s="6">
        <f>MOD((Config!$B$2*31+$AP11*15485863)*1366+150889,714025)/714025</f>
        <v/>
      </c>
      <c r="K11" s="6" t="n"/>
      <c r="L11" s="6" t="n"/>
      <c r="M11" s="6">
        <f>COUNTIF(Siblings!$A$2:$A$84,B11)</f>
        <v/>
      </c>
      <c r="N11" s="6">
        <f>1+INT(J11*M11)</f>
        <v/>
      </c>
      <c r="O11" s="6">
        <f>IF(K11&lt;&gt;"",K11,IFERROR(INDEX(Siblings!$D$2:$D$84,MATCH(B11&amp;"|"&amp;N11,Siblings!$F$2:$F$84,0)),0))</f>
        <v/>
      </c>
      <c r="P11" s="6">
        <f>IF(L11&lt;&gt;"",L11,IFERROR(INDEX(Siblings!$E$2:$E$84,MATCH(B11&amp;"|"&amp;N11,Siblings!$F$2:$F$84,0)),0))</f>
        <v/>
      </c>
      <c r="Q11" s="6">
        <f>(INDEX('Earth curves'!$B$2:$B$46,MAX(1,MIN(44,IFERROR(MATCH(F11,'Earth curves'!$A$2:$A$46,1),1))))+(F11-INDEX('Earth curves'!$A$2:$A$46,MAX(1,MIN(44,IFERROR(MATCH(F11,'Earth curves'!$A$2:$A$46,1),1)))))*(INDEX('Earth curves'!$B$2:$B$46,MAX(1,MIN(44,IFERROR(MATCH(F11,'Earth curves'!$A$2:$A$46,1),1)))+1)-INDEX('Earth curves'!$B$2:$B$46,MAX(1,MIN(44,IFERROR(MATCH(F11,'Earth curves'!$A$2:$A$46,1),1)))))/(INDEX('Earth curves'!$A$2:$A$46,MAX(1,MIN(44,IFERROR(MATCH(F11,'Earth curves'!$A$2:$A$46,1),1)))+1)-INDEX('Earth curves'!$A$2:$A$46,MAX(1,MIN(44,IFERROR(MATCH(F11,'Earth curves'!$A$2:$A$46,1),1))))))</f>
        <v/>
      </c>
      <c r="R11" s="6">
        <f>(INDEX('Earth curves'!$C$2:$C$46,MAX(1,MIN(44,IFERROR(MATCH(F11,'Earth curves'!$A$2:$A$46,1),1))))+(F11-INDEX('Earth curves'!$A$2:$A$46,MAX(1,MIN(44,IFERROR(MATCH(F11,'Earth curves'!$A$2:$A$46,1),1)))))*(INDEX('Earth curves'!$C$2:$C$46,MAX(1,MIN(44,IFERROR(MATCH(F11,'Earth curves'!$A$2:$A$46,1),1)))+1)-INDEX('Earth curves'!$C$2:$C$46,MAX(1,MIN(44,IFERROR(MATCH(F11,'Earth curves'!$A$2:$A$46,1),1)))))/(INDEX('Earth curves'!$A$2:$A$46,MAX(1,MIN(44,IFERROR(MATCH(F11,'Earth curves'!$A$2:$A$46,1),1)))+1)-INDEX('Earth curves'!$A$2:$A$46,MAX(1,MIN(44,IFERROR(MATCH(F11,'Earth curves'!$A$2:$A$46,1),1))))))</f>
        <v/>
      </c>
      <c r="S11" s="6">
        <f>MEDIAN(0.307692,Q11+MEDIAN(-0.350583,O11+NORMSINV(H11)*0.064828*Config!$B$3,0.120277),0.993846)</f>
        <v/>
      </c>
      <c r="T11" s="10">
        <f>ROUND(Config!$B$7+(Config!$B$8-Config!$B$7)*S11,1)</f>
        <v/>
      </c>
      <c r="U11" s="11" t="n"/>
      <c r="V11" s="10">
        <f>IF(U11="",T11,U11)</f>
        <v/>
      </c>
      <c r="W11" s="6">
        <f>MEDIAN(0.05,R11+MEDIAN(-0.302219,P11+NORMSINV(I11)*0.089531*Config!$B$3,0.274961),0.999)</f>
        <v/>
      </c>
      <c r="X11" s="6">
        <f>(INDEX('Earth curves'!$F$2:$F$46,MAX(1,MIN(44,IFERROR(MATCH(W11,'Earth curves'!$E$2:$E$46,1),1))))+(W11-INDEX('Earth curves'!$E$2:$E$46,MAX(1,MIN(44,IFERROR(MATCH(W11,'Earth curves'!$E$2:$E$46,1),1)))))*(INDEX('Earth curves'!$F$2:$F$46,MAX(1,MIN(44,IFERROR(MATCH(W11,'Earth curves'!$E$2:$E$46,1),1)))+1)-INDEX('Earth curves'!$F$2:$F$46,MAX(1,MIN(44,IFERROR(MATCH(W11,'Earth curves'!$E$2:$E$46,1),1)))))/(INDEX('Earth curves'!$E$2:$E$46,MAX(1,MIN(44,IFERROR(MATCH(W11,'Earth curves'!$E$2:$E$46,1),1)))+1)-INDEX('Earth curves'!$E$2:$E$46,MAX(1,MIN(44,IFERROR(MATCH(W11,'Earth curves'!$E$2:$E$46,1),1))))))</f>
        <v/>
      </c>
      <c r="Y11" s="6">
        <f>(INDEX('Earth curves'!$G$2:$G$46,MAX(1,MIN(44,IFERROR(MATCH(W11,'Earth curves'!$E$2:$E$46,1),1))))+(W11-INDEX('Earth curves'!$E$2:$E$46,MAX(1,MIN(44,IFERROR(MATCH(W11,'Earth curves'!$E$2:$E$46,1),1)))))*(INDEX('Earth curves'!$G$2:$G$46,MAX(1,MIN(44,IFERROR(MATCH(W11,'Earth curves'!$E$2:$E$46,1),1)))+1)-INDEX('Earth curves'!$G$2:$G$46,MAX(1,MIN(44,IFERROR(MATCH(W11,'Earth curves'!$E$2:$E$46,1),1)))))/(INDEX('Earth curves'!$E$2:$E$46,MAX(1,MIN(44,IFERROR(MATCH(W11,'Earth curves'!$E$2:$E$46,1),1)))+1)-INDEX('Earth curves'!$E$2:$E$46,MAX(1,MIN(44,IFERROR(MATCH(W11,'Earth curves'!$E$2:$E$46,1),1))))))</f>
        <v/>
      </c>
      <c r="Z11" s="6">
        <f>(MIN(X11/Config!$B$9,1)+MIN(Y11/Config!$B$10,1))/2</f>
        <v/>
      </c>
      <c r="AA11" s="10">
        <f>ROUND(MIN(22,MAX(3,X11*W11/Z11)),1)</f>
        <v/>
      </c>
      <c r="AB11" s="11" t="n"/>
      <c r="AC11" s="10">
        <f>IF(AB11="",AA11,AB11)</f>
        <v/>
      </c>
      <c r="AD11" s="10">
        <f>ROUND(MIN(Config!$B$10,MAX(1,Y11*W11/Z11)),1)</f>
        <v/>
      </c>
      <c r="AE11" s="11" t="n"/>
      <c r="AF11" s="10">
        <f>IF(AE11="",AD11,AE11)</f>
        <v/>
      </c>
      <c r="AG11" s="9">
        <f>(V11-Config!$B$7)/(Config!$B$8-Config!$B$7)</f>
        <v/>
      </c>
      <c r="AH11" s="9">
        <f>(MIN(AC11/Config!$B$9,1)+MIN(AF11/Config!$B$10,1))/2</f>
        <v/>
      </c>
      <c r="AI11" s="12">
        <f>ROUND((AG11*AH11*G11)^(1/3),3)</f>
        <v/>
      </c>
      <c r="AJ11" s="12" t="n">
        <v>0.712</v>
      </c>
      <c r="AK11" s="13">
        <f>AI11-AJ11</f>
        <v/>
      </c>
      <c r="AL11" s="13">
        <f>AK11-AVERAGE($AK$2:$AK$173)</f>
        <v/>
      </c>
      <c r="AM11" s="6">
        <f>IF(ABS(AL11)&gt;Config!$B$11,"REVIEW","")</f>
        <v/>
      </c>
      <c r="AN11" s="14">
        <f>RANK(AI11,$AI$2:$AI$173)</f>
        <v/>
      </c>
      <c r="AO11" s="14">
        <f>RANK(AJ11,$AJ$2:$AJ$173)</f>
        <v/>
      </c>
      <c r="AP11" s="14" t="n">
        <v>11</v>
      </c>
    </row>
    <row r="12">
      <c r="A12" s="6" t="inlineStr">
        <is>
          <t>Ashain</t>
        </is>
      </c>
      <c r="B12" s="6" t="inlineStr">
        <is>
          <t>Quia</t>
        </is>
      </c>
      <c r="C12" s="6" t="inlineStr">
        <is>
          <t>petro, resource, university</t>
        </is>
      </c>
      <c r="D12" s="7" t="n">
        <v>101905</v>
      </c>
      <c r="E12" s="8">
        <f>D12*Config!$B$4</f>
        <v/>
      </c>
      <c r="F12" s="6">
        <f>LN(MAX(60,E12))</f>
        <v/>
      </c>
      <c r="G12" s="9">
        <f>MEDIAN(0,(F12-LN(Config!$B$5))/(LN(Config!$B$6)-LN(Config!$B$5)),1)</f>
        <v/>
      </c>
      <c r="H12" s="6">
        <f>MOD((Config!$B$2+$AP12*7919)*9301+49297,233280)/233280</f>
        <v/>
      </c>
      <c r="I12" s="6">
        <f>MOD((Config!$B$2+$AP12*104729)*4096+150889,714025)/714025</f>
        <v/>
      </c>
      <c r="J12" s="6">
        <f>MOD((Config!$B$2*31+$AP12*15485863)*1366+150889,714025)/714025</f>
        <v/>
      </c>
      <c r="K12" s="6" t="n"/>
      <c r="L12" s="6" t="n"/>
      <c r="M12" s="6">
        <f>COUNTIF(Siblings!$A$2:$A$84,B12)</f>
        <v/>
      </c>
      <c r="N12" s="6">
        <f>1+INT(J12*M12)</f>
        <v/>
      </c>
      <c r="O12" s="6">
        <f>IF(K12&lt;&gt;"",K12,IFERROR(INDEX(Siblings!$D$2:$D$84,MATCH(B12&amp;"|"&amp;N12,Siblings!$F$2:$F$84,0)),0))</f>
        <v/>
      </c>
      <c r="P12" s="6">
        <f>IF(L12&lt;&gt;"",L12,IFERROR(INDEX(Siblings!$E$2:$E$84,MATCH(B12&amp;"|"&amp;N12,Siblings!$F$2:$F$84,0)),0))</f>
        <v/>
      </c>
      <c r="Q12" s="6">
        <f>(INDEX('Earth curves'!$B$2:$B$46,MAX(1,MIN(44,IFERROR(MATCH(F12,'Earth curves'!$A$2:$A$46,1),1))))+(F12-INDEX('Earth curves'!$A$2:$A$46,MAX(1,MIN(44,IFERROR(MATCH(F12,'Earth curves'!$A$2:$A$46,1),1)))))*(INDEX('Earth curves'!$B$2:$B$46,MAX(1,MIN(44,IFERROR(MATCH(F12,'Earth curves'!$A$2:$A$46,1),1)))+1)-INDEX('Earth curves'!$B$2:$B$46,MAX(1,MIN(44,IFERROR(MATCH(F12,'Earth curves'!$A$2:$A$46,1),1)))))/(INDEX('Earth curves'!$A$2:$A$46,MAX(1,MIN(44,IFERROR(MATCH(F12,'Earth curves'!$A$2:$A$46,1),1)))+1)-INDEX('Earth curves'!$A$2:$A$46,MAX(1,MIN(44,IFERROR(MATCH(F12,'Earth curves'!$A$2:$A$46,1),1))))))</f>
        <v/>
      </c>
      <c r="R12" s="6">
        <f>(INDEX('Earth curves'!$C$2:$C$46,MAX(1,MIN(44,IFERROR(MATCH(F12,'Earth curves'!$A$2:$A$46,1),1))))+(F12-INDEX('Earth curves'!$A$2:$A$46,MAX(1,MIN(44,IFERROR(MATCH(F12,'Earth curves'!$A$2:$A$46,1),1)))))*(INDEX('Earth curves'!$C$2:$C$46,MAX(1,MIN(44,IFERROR(MATCH(F12,'Earth curves'!$A$2:$A$46,1),1)))+1)-INDEX('Earth curves'!$C$2:$C$46,MAX(1,MIN(44,IFERROR(MATCH(F12,'Earth curves'!$A$2:$A$46,1),1)))))/(INDEX('Earth curves'!$A$2:$A$46,MAX(1,MIN(44,IFERROR(MATCH(F12,'Earth curves'!$A$2:$A$46,1),1)))+1)-INDEX('Earth curves'!$A$2:$A$46,MAX(1,MIN(44,IFERROR(MATCH(F12,'Earth curves'!$A$2:$A$46,1),1))))))</f>
        <v/>
      </c>
      <c r="S12" s="6">
        <f>MEDIAN(0.307692,Q12+MEDIAN(-0.350583,O12+NORMSINV(H12)*0.064828*Config!$B$3,0.120277),0.993846)</f>
        <v/>
      </c>
      <c r="T12" s="10">
        <f>ROUND(Config!$B$7+(Config!$B$8-Config!$B$7)*S12,1)</f>
        <v/>
      </c>
      <c r="U12" s="11" t="n"/>
      <c r="V12" s="10">
        <f>IF(U12="",T12,U12)</f>
        <v/>
      </c>
      <c r="W12" s="6">
        <f>MEDIAN(0.05,R12+MEDIAN(-0.302219,P12+NORMSINV(I12)*0.089531*Config!$B$3,0.274961),0.999)</f>
        <v/>
      </c>
      <c r="X12" s="6">
        <f>(INDEX('Earth curves'!$F$2:$F$46,MAX(1,MIN(44,IFERROR(MATCH(W12,'Earth curves'!$E$2:$E$46,1),1))))+(W12-INDEX('Earth curves'!$E$2:$E$46,MAX(1,MIN(44,IFERROR(MATCH(W12,'Earth curves'!$E$2:$E$46,1),1)))))*(INDEX('Earth curves'!$F$2:$F$46,MAX(1,MIN(44,IFERROR(MATCH(W12,'Earth curves'!$E$2:$E$46,1),1)))+1)-INDEX('Earth curves'!$F$2:$F$46,MAX(1,MIN(44,IFERROR(MATCH(W12,'Earth curves'!$E$2:$E$46,1),1)))))/(INDEX('Earth curves'!$E$2:$E$46,MAX(1,MIN(44,IFERROR(MATCH(W12,'Earth curves'!$E$2:$E$46,1),1)))+1)-INDEX('Earth curves'!$E$2:$E$46,MAX(1,MIN(44,IFERROR(MATCH(W12,'Earth curves'!$E$2:$E$46,1),1))))))</f>
        <v/>
      </c>
      <c r="Y12" s="6">
        <f>(INDEX('Earth curves'!$G$2:$G$46,MAX(1,MIN(44,IFERROR(MATCH(W12,'Earth curves'!$E$2:$E$46,1),1))))+(W12-INDEX('Earth curves'!$E$2:$E$46,MAX(1,MIN(44,IFERROR(MATCH(W12,'Earth curves'!$E$2:$E$46,1),1)))))*(INDEX('Earth curves'!$G$2:$G$46,MAX(1,MIN(44,IFERROR(MATCH(W12,'Earth curves'!$E$2:$E$46,1),1)))+1)-INDEX('Earth curves'!$G$2:$G$46,MAX(1,MIN(44,IFERROR(MATCH(W12,'Earth curves'!$E$2:$E$46,1),1)))))/(INDEX('Earth curves'!$E$2:$E$46,MAX(1,MIN(44,IFERROR(MATCH(W12,'Earth curves'!$E$2:$E$46,1),1)))+1)-INDEX('Earth curves'!$E$2:$E$46,MAX(1,MIN(44,IFERROR(MATCH(W12,'Earth curves'!$E$2:$E$46,1),1))))))</f>
        <v/>
      </c>
      <c r="Z12" s="6">
        <f>(MIN(X12/Config!$B$9,1)+MIN(Y12/Config!$B$10,1))/2</f>
        <v/>
      </c>
      <c r="AA12" s="10">
        <f>ROUND(MIN(22,MAX(3,X12*W12/Z12)),1)</f>
        <v/>
      </c>
      <c r="AB12" s="11" t="n"/>
      <c r="AC12" s="10">
        <f>IF(AB12="",AA12,AB12)</f>
        <v/>
      </c>
      <c r="AD12" s="10">
        <f>ROUND(MIN(Config!$B$10,MAX(1,Y12*W12/Z12)),1)</f>
        <v/>
      </c>
      <c r="AE12" s="11" t="n"/>
      <c r="AF12" s="10">
        <f>IF(AE12="",AD12,AE12)</f>
        <v/>
      </c>
      <c r="AG12" s="9">
        <f>(V12-Config!$B$7)/(Config!$B$8-Config!$B$7)</f>
        <v/>
      </c>
      <c r="AH12" s="9">
        <f>(MIN(AC12/Config!$B$9,1)+MIN(AF12/Config!$B$10,1))/2</f>
        <v/>
      </c>
      <c r="AI12" s="12">
        <f>ROUND((AG12*AH12*G12)^(1/3),3)</f>
        <v/>
      </c>
      <c r="AJ12" s="12" t="n">
        <v>0.903</v>
      </c>
      <c r="AK12" s="13">
        <f>AI12-AJ12</f>
        <v/>
      </c>
      <c r="AL12" s="13">
        <f>AK12-AVERAGE($AK$2:$AK$173)</f>
        <v/>
      </c>
      <c r="AM12" s="6">
        <f>IF(ABS(AL12)&gt;Config!$B$11,"REVIEW","")</f>
        <v/>
      </c>
      <c r="AN12" s="14">
        <f>RANK(AI12,$AI$2:$AI$173)</f>
        <v/>
      </c>
      <c r="AO12" s="14">
        <f>RANK(AJ12,$AJ$2:$AJ$173)</f>
        <v/>
      </c>
      <c r="AP12" s="14" t="n">
        <v>12</v>
      </c>
    </row>
    <row r="13">
      <c r="A13" s="6" t="inlineStr">
        <is>
          <t>Astye</t>
        </is>
      </c>
      <c r="B13" s="6" t="inlineStr">
        <is>
          <t>New Ayre</t>
        </is>
      </c>
      <c r="C13" s="6" t="inlineStr">
        <is>
          <t>resource</t>
        </is>
      </c>
      <c r="D13" s="7" t="n">
        <v>29556</v>
      </c>
      <c r="E13" s="8">
        <f>D13*Config!$B$4</f>
        <v/>
      </c>
      <c r="F13" s="6">
        <f>LN(MAX(60,E13))</f>
        <v/>
      </c>
      <c r="G13" s="9">
        <f>MEDIAN(0,(F13-LN(Config!$B$5))/(LN(Config!$B$6)-LN(Config!$B$5)),1)</f>
        <v/>
      </c>
      <c r="H13" s="6">
        <f>MOD((Config!$B$2+$AP13*7919)*9301+49297,233280)/233280</f>
        <v/>
      </c>
      <c r="I13" s="6">
        <f>MOD((Config!$B$2+$AP13*104729)*4096+150889,714025)/714025</f>
        <v/>
      </c>
      <c r="J13" s="6">
        <f>MOD((Config!$B$2*31+$AP13*15485863)*1366+150889,714025)/714025</f>
        <v/>
      </c>
      <c r="K13" s="6" t="n">
        <v>0.009235</v>
      </c>
      <c r="L13" s="6" t="n">
        <v>0.071316</v>
      </c>
      <c r="M13" s="6">
        <f>COUNTIF(Siblings!$A$2:$A$84,B13)</f>
        <v/>
      </c>
      <c r="N13" s="6">
        <f>1+INT(J13*M13)</f>
        <v/>
      </c>
      <c r="O13" s="6">
        <f>IF(K13&lt;&gt;"",K13,IFERROR(INDEX(Siblings!$D$2:$D$84,MATCH(B13&amp;"|"&amp;N13,Siblings!$F$2:$F$84,0)),0))</f>
        <v/>
      </c>
      <c r="P13" s="6">
        <f>IF(L13&lt;&gt;"",L13,IFERROR(INDEX(Siblings!$E$2:$E$84,MATCH(B13&amp;"|"&amp;N13,Siblings!$F$2:$F$84,0)),0))</f>
        <v/>
      </c>
      <c r="Q13" s="6">
        <f>(INDEX('Earth curves'!$B$2:$B$46,MAX(1,MIN(44,IFERROR(MATCH(F13,'Earth curves'!$A$2:$A$46,1),1))))+(F13-INDEX('Earth curves'!$A$2:$A$46,MAX(1,MIN(44,IFERROR(MATCH(F13,'Earth curves'!$A$2:$A$46,1),1)))))*(INDEX('Earth curves'!$B$2:$B$46,MAX(1,MIN(44,IFERROR(MATCH(F13,'Earth curves'!$A$2:$A$46,1),1)))+1)-INDEX('Earth curves'!$B$2:$B$46,MAX(1,MIN(44,IFERROR(MATCH(F13,'Earth curves'!$A$2:$A$46,1),1)))))/(INDEX('Earth curves'!$A$2:$A$46,MAX(1,MIN(44,IFERROR(MATCH(F13,'Earth curves'!$A$2:$A$46,1),1)))+1)-INDEX('Earth curves'!$A$2:$A$46,MAX(1,MIN(44,IFERROR(MATCH(F13,'Earth curves'!$A$2:$A$46,1),1))))))</f>
        <v/>
      </c>
      <c r="R13" s="6">
        <f>(INDEX('Earth curves'!$C$2:$C$46,MAX(1,MIN(44,IFERROR(MATCH(F13,'Earth curves'!$A$2:$A$46,1),1))))+(F13-INDEX('Earth curves'!$A$2:$A$46,MAX(1,MIN(44,IFERROR(MATCH(F13,'Earth curves'!$A$2:$A$46,1),1)))))*(INDEX('Earth curves'!$C$2:$C$46,MAX(1,MIN(44,IFERROR(MATCH(F13,'Earth curves'!$A$2:$A$46,1),1)))+1)-INDEX('Earth curves'!$C$2:$C$46,MAX(1,MIN(44,IFERROR(MATCH(F13,'Earth curves'!$A$2:$A$46,1),1)))))/(INDEX('Earth curves'!$A$2:$A$46,MAX(1,MIN(44,IFERROR(MATCH(F13,'Earth curves'!$A$2:$A$46,1),1)))+1)-INDEX('Earth curves'!$A$2:$A$46,MAX(1,MIN(44,IFERROR(MATCH(F13,'Earth curves'!$A$2:$A$46,1),1))))))</f>
        <v/>
      </c>
      <c r="S13" s="6">
        <f>MEDIAN(0.307692,Q13+MEDIAN(-0.350583,O13+NORMSINV(H13)*0.064828*Config!$B$3,0.120277),0.993846)</f>
        <v/>
      </c>
      <c r="T13" s="10">
        <f>ROUND(Config!$B$7+(Config!$B$8-Config!$B$7)*S13,1)</f>
        <v/>
      </c>
      <c r="U13" s="11" t="n"/>
      <c r="V13" s="10">
        <f>IF(U13="",T13,U13)</f>
        <v/>
      </c>
      <c r="W13" s="6">
        <f>MEDIAN(0.05,R13+MEDIAN(-0.302219,P13+NORMSINV(I13)*0.089531*Config!$B$3,0.274961),0.999)</f>
        <v/>
      </c>
      <c r="X13" s="6">
        <f>(INDEX('Earth curves'!$F$2:$F$46,MAX(1,MIN(44,IFERROR(MATCH(W13,'Earth curves'!$E$2:$E$46,1),1))))+(W13-INDEX('Earth curves'!$E$2:$E$46,MAX(1,MIN(44,IFERROR(MATCH(W13,'Earth curves'!$E$2:$E$46,1),1)))))*(INDEX('Earth curves'!$F$2:$F$46,MAX(1,MIN(44,IFERROR(MATCH(W13,'Earth curves'!$E$2:$E$46,1),1)))+1)-INDEX('Earth curves'!$F$2:$F$46,MAX(1,MIN(44,IFERROR(MATCH(W13,'Earth curves'!$E$2:$E$46,1),1)))))/(INDEX('Earth curves'!$E$2:$E$46,MAX(1,MIN(44,IFERROR(MATCH(W13,'Earth curves'!$E$2:$E$46,1),1)))+1)-INDEX('Earth curves'!$E$2:$E$46,MAX(1,MIN(44,IFERROR(MATCH(W13,'Earth curves'!$E$2:$E$46,1),1))))))</f>
        <v/>
      </c>
      <c r="Y13" s="6">
        <f>(INDEX('Earth curves'!$G$2:$G$46,MAX(1,MIN(44,IFERROR(MATCH(W13,'Earth curves'!$E$2:$E$46,1),1))))+(W13-INDEX('Earth curves'!$E$2:$E$46,MAX(1,MIN(44,IFERROR(MATCH(W13,'Earth curves'!$E$2:$E$46,1),1)))))*(INDEX('Earth curves'!$G$2:$G$46,MAX(1,MIN(44,IFERROR(MATCH(W13,'Earth curves'!$E$2:$E$46,1),1)))+1)-INDEX('Earth curves'!$G$2:$G$46,MAX(1,MIN(44,IFERROR(MATCH(W13,'Earth curves'!$E$2:$E$46,1),1)))))/(INDEX('Earth curves'!$E$2:$E$46,MAX(1,MIN(44,IFERROR(MATCH(W13,'Earth curves'!$E$2:$E$46,1),1)))+1)-INDEX('Earth curves'!$E$2:$E$46,MAX(1,MIN(44,IFERROR(MATCH(W13,'Earth curves'!$E$2:$E$46,1),1))))))</f>
        <v/>
      </c>
      <c r="Z13" s="6">
        <f>(MIN(X13/Config!$B$9,1)+MIN(Y13/Config!$B$10,1))/2</f>
        <v/>
      </c>
      <c r="AA13" s="10">
        <f>ROUND(MIN(22,MAX(3,X13*W13/Z13)),1)</f>
        <v/>
      </c>
      <c r="AB13" s="11" t="n"/>
      <c r="AC13" s="10">
        <f>IF(AB13="",AA13,AB13)</f>
        <v/>
      </c>
      <c r="AD13" s="10">
        <f>ROUND(MIN(Config!$B$10,MAX(1,Y13*W13/Z13)),1)</f>
        <v/>
      </c>
      <c r="AE13" s="11" t="n"/>
      <c r="AF13" s="10">
        <f>IF(AE13="",AD13,AE13)</f>
        <v/>
      </c>
      <c r="AG13" s="9">
        <f>(V13-Config!$B$7)/(Config!$B$8-Config!$B$7)</f>
        <v/>
      </c>
      <c r="AH13" s="9">
        <f>(MIN(AC13/Config!$B$9,1)+MIN(AF13/Config!$B$10,1))/2</f>
        <v/>
      </c>
      <c r="AI13" s="12">
        <f>ROUND((AG13*AH13*G13)^(1/3),3)</f>
        <v/>
      </c>
      <c r="AJ13" s="12" t="n">
        <v>0.751</v>
      </c>
      <c r="AK13" s="13">
        <f>AI13-AJ13</f>
        <v/>
      </c>
      <c r="AL13" s="13">
        <f>AK13-AVERAGE($AK$2:$AK$173)</f>
        <v/>
      </c>
      <c r="AM13" s="6">
        <f>IF(ABS(AL13)&gt;Config!$B$11,"REVIEW","")</f>
        <v/>
      </c>
      <c r="AN13" s="14">
        <f>RANK(AI13,$AI$2:$AI$173)</f>
        <v/>
      </c>
      <c r="AO13" s="14">
        <f>RANK(AJ13,$AJ$2:$AJ$173)</f>
        <v/>
      </c>
      <c r="AP13" s="14" t="n">
        <v>13</v>
      </c>
    </row>
    <row r="14">
      <c r="A14" s="6" t="inlineStr">
        <is>
          <t>Baluyde</t>
        </is>
      </c>
      <c r="B14" s="6" t="inlineStr">
        <is>
          <t>Quia</t>
        </is>
      </c>
      <c r="C14" s="6" t="inlineStr">
        <is>
          <t>—</t>
        </is>
      </c>
      <c r="D14" s="7" t="n">
        <v>75238</v>
      </c>
      <c r="E14" s="8">
        <f>D14*Config!$B$4</f>
        <v/>
      </c>
      <c r="F14" s="6">
        <f>LN(MAX(60,E14))</f>
        <v/>
      </c>
      <c r="G14" s="9">
        <f>MEDIAN(0,(F14-LN(Config!$B$5))/(LN(Config!$B$6)-LN(Config!$B$5)),1)</f>
        <v/>
      </c>
      <c r="H14" s="6">
        <f>MOD((Config!$B$2+$AP14*7919)*9301+49297,233280)/233280</f>
        <v/>
      </c>
      <c r="I14" s="6">
        <f>MOD((Config!$B$2+$AP14*104729)*4096+150889,714025)/714025</f>
        <v/>
      </c>
      <c r="J14" s="6">
        <f>MOD((Config!$B$2*31+$AP14*15485863)*1366+150889,714025)/714025</f>
        <v/>
      </c>
      <c r="K14" s="6" t="n"/>
      <c r="L14" s="6" t="n"/>
      <c r="M14" s="6">
        <f>COUNTIF(Siblings!$A$2:$A$84,B14)</f>
        <v/>
      </c>
      <c r="N14" s="6">
        <f>1+INT(J14*M14)</f>
        <v/>
      </c>
      <c r="O14" s="6">
        <f>IF(K14&lt;&gt;"",K14,IFERROR(INDEX(Siblings!$D$2:$D$84,MATCH(B14&amp;"|"&amp;N14,Siblings!$F$2:$F$84,0)),0))</f>
        <v/>
      </c>
      <c r="P14" s="6">
        <f>IF(L14&lt;&gt;"",L14,IFERROR(INDEX(Siblings!$E$2:$E$84,MATCH(B14&amp;"|"&amp;N14,Siblings!$F$2:$F$84,0)),0))</f>
        <v/>
      </c>
      <c r="Q14" s="6">
        <f>(INDEX('Earth curves'!$B$2:$B$46,MAX(1,MIN(44,IFERROR(MATCH(F14,'Earth curves'!$A$2:$A$46,1),1))))+(F14-INDEX('Earth curves'!$A$2:$A$46,MAX(1,MIN(44,IFERROR(MATCH(F14,'Earth curves'!$A$2:$A$46,1),1)))))*(INDEX('Earth curves'!$B$2:$B$46,MAX(1,MIN(44,IFERROR(MATCH(F14,'Earth curves'!$A$2:$A$46,1),1)))+1)-INDEX('Earth curves'!$B$2:$B$46,MAX(1,MIN(44,IFERROR(MATCH(F14,'Earth curves'!$A$2:$A$46,1),1)))))/(INDEX('Earth curves'!$A$2:$A$46,MAX(1,MIN(44,IFERROR(MATCH(F14,'Earth curves'!$A$2:$A$46,1),1)))+1)-INDEX('Earth curves'!$A$2:$A$46,MAX(1,MIN(44,IFERROR(MATCH(F14,'Earth curves'!$A$2:$A$46,1),1))))))</f>
        <v/>
      </c>
      <c r="R14" s="6">
        <f>(INDEX('Earth curves'!$C$2:$C$46,MAX(1,MIN(44,IFERROR(MATCH(F14,'Earth curves'!$A$2:$A$46,1),1))))+(F14-INDEX('Earth curves'!$A$2:$A$46,MAX(1,MIN(44,IFERROR(MATCH(F14,'Earth curves'!$A$2:$A$46,1),1)))))*(INDEX('Earth curves'!$C$2:$C$46,MAX(1,MIN(44,IFERROR(MATCH(F14,'Earth curves'!$A$2:$A$46,1),1)))+1)-INDEX('Earth curves'!$C$2:$C$46,MAX(1,MIN(44,IFERROR(MATCH(F14,'Earth curves'!$A$2:$A$46,1),1)))))/(INDEX('Earth curves'!$A$2:$A$46,MAX(1,MIN(44,IFERROR(MATCH(F14,'Earth curves'!$A$2:$A$46,1),1)))+1)-INDEX('Earth curves'!$A$2:$A$46,MAX(1,MIN(44,IFERROR(MATCH(F14,'Earth curves'!$A$2:$A$46,1),1))))))</f>
        <v/>
      </c>
      <c r="S14" s="6">
        <f>MEDIAN(0.307692,Q14+MEDIAN(-0.350583,O14+NORMSINV(H14)*0.064828*Config!$B$3,0.120277),0.993846)</f>
        <v/>
      </c>
      <c r="T14" s="10">
        <f>ROUND(Config!$B$7+(Config!$B$8-Config!$B$7)*S14,1)</f>
        <v/>
      </c>
      <c r="U14" s="11" t="n"/>
      <c r="V14" s="10">
        <f>IF(U14="",T14,U14)</f>
        <v/>
      </c>
      <c r="W14" s="6">
        <f>MEDIAN(0.05,R14+MEDIAN(-0.302219,P14+NORMSINV(I14)*0.089531*Config!$B$3,0.274961),0.999)</f>
        <v/>
      </c>
      <c r="X14" s="6">
        <f>(INDEX('Earth curves'!$F$2:$F$46,MAX(1,MIN(44,IFERROR(MATCH(W14,'Earth curves'!$E$2:$E$46,1),1))))+(W14-INDEX('Earth curves'!$E$2:$E$46,MAX(1,MIN(44,IFERROR(MATCH(W14,'Earth curves'!$E$2:$E$46,1),1)))))*(INDEX('Earth curves'!$F$2:$F$46,MAX(1,MIN(44,IFERROR(MATCH(W14,'Earth curves'!$E$2:$E$46,1),1)))+1)-INDEX('Earth curves'!$F$2:$F$46,MAX(1,MIN(44,IFERROR(MATCH(W14,'Earth curves'!$E$2:$E$46,1),1)))))/(INDEX('Earth curves'!$E$2:$E$46,MAX(1,MIN(44,IFERROR(MATCH(W14,'Earth curves'!$E$2:$E$46,1),1)))+1)-INDEX('Earth curves'!$E$2:$E$46,MAX(1,MIN(44,IFERROR(MATCH(W14,'Earth curves'!$E$2:$E$46,1),1))))))</f>
        <v/>
      </c>
      <c r="Y14" s="6">
        <f>(INDEX('Earth curves'!$G$2:$G$46,MAX(1,MIN(44,IFERROR(MATCH(W14,'Earth curves'!$E$2:$E$46,1),1))))+(W14-INDEX('Earth curves'!$E$2:$E$46,MAX(1,MIN(44,IFERROR(MATCH(W14,'Earth curves'!$E$2:$E$46,1),1)))))*(INDEX('Earth curves'!$G$2:$G$46,MAX(1,MIN(44,IFERROR(MATCH(W14,'Earth curves'!$E$2:$E$46,1),1)))+1)-INDEX('Earth curves'!$G$2:$G$46,MAX(1,MIN(44,IFERROR(MATCH(W14,'Earth curves'!$E$2:$E$46,1),1)))))/(INDEX('Earth curves'!$E$2:$E$46,MAX(1,MIN(44,IFERROR(MATCH(W14,'Earth curves'!$E$2:$E$46,1),1)))+1)-INDEX('Earth curves'!$E$2:$E$46,MAX(1,MIN(44,IFERROR(MATCH(W14,'Earth curves'!$E$2:$E$46,1),1))))))</f>
        <v/>
      </c>
      <c r="Z14" s="6">
        <f>(MIN(X14/Config!$B$9,1)+MIN(Y14/Config!$B$10,1))/2</f>
        <v/>
      </c>
      <c r="AA14" s="10">
        <f>ROUND(MIN(22,MAX(3,X14*W14/Z14)),1)</f>
        <v/>
      </c>
      <c r="AB14" s="11" t="n"/>
      <c r="AC14" s="10">
        <f>IF(AB14="",AA14,AB14)</f>
        <v/>
      </c>
      <c r="AD14" s="10">
        <f>ROUND(MIN(Config!$B$10,MAX(1,Y14*W14/Z14)),1)</f>
        <v/>
      </c>
      <c r="AE14" s="11" t="n"/>
      <c r="AF14" s="10">
        <f>IF(AE14="",AD14,AE14)</f>
        <v/>
      </c>
      <c r="AG14" s="9">
        <f>(V14-Config!$B$7)/(Config!$B$8-Config!$B$7)</f>
        <v/>
      </c>
      <c r="AH14" s="9">
        <f>(MIN(AC14/Config!$B$9,1)+MIN(AF14/Config!$B$10,1))/2</f>
        <v/>
      </c>
      <c r="AI14" s="12">
        <f>ROUND((AG14*AH14*G14)^(1/3),3)</f>
        <v/>
      </c>
      <c r="AJ14" s="12" t="n">
        <v>0.705</v>
      </c>
      <c r="AK14" s="13">
        <f>AI14-AJ14</f>
        <v/>
      </c>
      <c r="AL14" s="13">
        <f>AK14-AVERAGE($AK$2:$AK$173)</f>
        <v/>
      </c>
      <c r="AM14" s="6">
        <f>IF(ABS(AL14)&gt;Config!$B$11,"REVIEW","")</f>
        <v/>
      </c>
      <c r="AN14" s="14">
        <f>RANK(AI14,$AI$2:$AI$173)</f>
        <v/>
      </c>
      <c r="AO14" s="14">
        <f>RANK(AJ14,$AJ$2:$AJ$173)</f>
        <v/>
      </c>
      <c r="AP14" s="14" t="n">
        <v>14</v>
      </c>
    </row>
    <row r="15">
      <c r="A15" s="6" t="inlineStr">
        <is>
          <t>Byllu</t>
        </is>
      </c>
      <c r="B15" s="6" t="inlineStr">
        <is>
          <t>Mahea</t>
        </is>
      </c>
      <c r="C15" s="6" t="inlineStr">
        <is>
          <t>—</t>
        </is>
      </c>
      <c r="D15" s="7" t="n">
        <v>11079</v>
      </c>
      <c r="E15" s="8">
        <f>D15*Config!$B$4</f>
        <v/>
      </c>
      <c r="F15" s="6">
        <f>LN(MAX(60,E15))</f>
        <v/>
      </c>
      <c r="G15" s="9">
        <f>MEDIAN(0,(F15-LN(Config!$B$5))/(LN(Config!$B$6)-LN(Config!$B$5)),1)</f>
        <v/>
      </c>
      <c r="H15" s="6">
        <f>MOD((Config!$B$2+$AP15*7919)*9301+49297,233280)/233280</f>
        <v/>
      </c>
      <c r="I15" s="6">
        <f>MOD((Config!$B$2+$AP15*104729)*4096+150889,714025)/714025</f>
        <v/>
      </c>
      <c r="J15" s="6">
        <f>MOD((Config!$B$2*31+$AP15*15485863)*1366+150889,714025)/714025</f>
        <v/>
      </c>
      <c r="K15" s="6" t="n"/>
      <c r="L15" s="6" t="n"/>
      <c r="M15" s="6">
        <f>COUNTIF(Siblings!$A$2:$A$84,B15)</f>
        <v/>
      </c>
      <c r="N15" s="6">
        <f>1+INT(J15*M15)</f>
        <v/>
      </c>
      <c r="O15" s="6">
        <f>IF(K15&lt;&gt;"",K15,IFERROR(INDEX(Siblings!$D$2:$D$84,MATCH(B15&amp;"|"&amp;N15,Siblings!$F$2:$F$84,0)),0))</f>
        <v/>
      </c>
      <c r="P15" s="6">
        <f>IF(L15&lt;&gt;"",L15,IFERROR(INDEX(Siblings!$E$2:$E$84,MATCH(B15&amp;"|"&amp;N15,Siblings!$F$2:$F$84,0)),0))</f>
        <v/>
      </c>
      <c r="Q15" s="6">
        <f>(INDEX('Earth curves'!$B$2:$B$46,MAX(1,MIN(44,IFERROR(MATCH(F15,'Earth curves'!$A$2:$A$46,1),1))))+(F15-INDEX('Earth curves'!$A$2:$A$46,MAX(1,MIN(44,IFERROR(MATCH(F15,'Earth curves'!$A$2:$A$46,1),1)))))*(INDEX('Earth curves'!$B$2:$B$46,MAX(1,MIN(44,IFERROR(MATCH(F15,'Earth curves'!$A$2:$A$46,1),1)))+1)-INDEX('Earth curves'!$B$2:$B$46,MAX(1,MIN(44,IFERROR(MATCH(F15,'Earth curves'!$A$2:$A$46,1),1)))))/(INDEX('Earth curves'!$A$2:$A$46,MAX(1,MIN(44,IFERROR(MATCH(F15,'Earth curves'!$A$2:$A$46,1),1)))+1)-INDEX('Earth curves'!$A$2:$A$46,MAX(1,MIN(44,IFERROR(MATCH(F15,'Earth curves'!$A$2:$A$46,1),1))))))</f>
        <v/>
      </c>
      <c r="R15" s="6">
        <f>(INDEX('Earth curves'!$C$2:$C$46,MAX(1,MIN(44,IFERROR(MATCH(F15,'Earth curves'!$A$2:$A$46,1),1))))+(F15-INDEX('Earth curves'!$A$2:$A$46,MAX(1,MIN(44,IFERROR(MATCH(F15,'Earth curves'!$A$2:$A$46,1),1)))))*(INDEX('Earth curves'!$C$2:$C$46,MAX(1,MIN(44,IFERROR(MATCH(F15,'Earth curves'!$A$2:$A$46,1),1)))+1)-INDEX('Earth curves'!$C$2:$C$46,MAX(1,MIN(44,IFERROR(MATCH(F15,'Earth curves'!$A$2:$A$46,1),1)))))/(INDEX('Earth curves'!$A$2:$A$46,MAX(1,MIN(44,IFERROR(MATCH(F15,'Earth curves'!$A$2:$A$46,1),1)))+1)-INDEX('Earth curves'!$A$2:$A$46,MAX(1,MIN(44,IFERROR(MATCH(F15,'Earth curves'!$A$2:$A$46,1),1))))))</f>
        <v/>
      </c>
      <c r="S15" s="6">
        <f>MEDIAN(0.307692,Q15+MEDIAN(-0.350583,O15+NORMSINV(H15)*0.064828*Config!$B$3,0.120277),0.993846)</f>
        <v/>
      </c>
      <c r="T15" s="10">
        <f>ROUND(Config!$B$7+(Config!$B$8-Config!$B$7)*S15,1)</f>
        <v/>
      </c>
      <c r="U15" s="11" t="n"/>
      <c r="V15" s="10">
        <f>IF(U15="",T15,U15)</f>
        <v/>
      </c>
      <c r="W15" s="6">
        <f>MEDIAN(0.05,R15+MEDIAN(-0.302219,P15+NORMSINV(I15)*0.089531*Config!$B$3,0.274961),0.999)</f>
        <v/>
      </c>
      <c r="X15" s="6">
        <f>(INDEX('Earth curves'!$F$2:$F$46,MAX(1,MIN(44,IFERROR(MATCH(W15,'Earth curves'!$E$2:$E$46,1),1))))+(W15-INDEX('Earth curves'!$E$2:$E$46,MAX(1,MIN(44,IFERROR(MATCH(W15,'Earth curves'!$E$2:$E$46,1),1)))))*(INDEX('Earth curves'!$F$2:$F$46,MAX(1,MIN(44,IFERROR(MATCH(W15,'Earth curves'!$E$2:$E$46,1),1)))+1)-INDEX('Earth curves'!$F$2:$F$46,MAX(1,MIN(44,IFERROR(MATCH(W15,'Earth curves'!$E$2:$E$46,1),1)))))/(INDEX('Earth curves'!$E$2:$E$46,MAX(1,MIN(44,IFERROR(MATCH(W15,'Earth curves'!$E$2:$E$46,1),1)))+1)-INDEX('Earth curves'!$E$2:$E$46,MAX(1,MIN(44,IFERROR(MATCH(W15,'Earth curves'!$E$2:$E$46,1),1))))))</f>
        <v/>
      </c>
      <c r="Y15" s="6">
        <f>(INDEX('Earth curves'!$G$2:$G$46,MAX(1,MIN(44,IFERROR(MATCH(W15,'Earth curves'!$E$2:$E$46,1),1))))+(W15-INDEX('Earth curves'!$E$2:$E$46,MAX(1,MIN(44,IFERROR(MATCH(W15,'Earth curves'!$E$2:$E$46,1),1)))))*(INDEX('Earth curves'!$G$2:$G$46,MAX(1,MIN(44,IFERROR(MATCH(W15,'Earth curves'!$E$2:$E$46,1),1)))+1)-INDEX('Earth curves'!$G$2:$G$46,MAX(1,MIN(44,IFERROR(MATCH(W15,'Earth curves'!$E$2:$E$46,1),1)))))/(INDEX('Earth curves'!$E$2:$E$46,MAX(1,MIN(44,IFERROR(MATCH(W15,'Earth curves'!$E$2:$E$46,1),1)))+1)-INDEX('Earth curves'!$E$2:$E$46,MAX(1,MIN(44,IFERROR(MATCH(W15,'Earth curves'!$E$2:$E$46,1),1))))))</f>
        <v/>
      </c>
      <c r="Z15" s="6">
        <f>(MIN(X15/Config!$B$9,1)+MIN(Y15/Config!$B$10,1))/2</f>
        <v/>
      </c>
      <c r="AA15" s="10">
        <f>ROUND(MIN(22,MAX(3,X15*W15/Z15)),1)</f>
        <v/>
      </c>
      <c r="AB15" s="11" t="n"/>
      <c r="AC15" s="10">
        <f>IF(AB15="",AA15,AB15)</f>
        <v/>
      </c>
      <c r="AD15" s="10">
        <f>ROUND(MIN(Config!$B$10,MAX(1,Y15*W15/Z15)),1)</f>
        <v/>
      </c>
      <c r="AE15" s="11" t="n"/>
      <c r="AF15" s="10">
        <f>IF(AE15="",AD15,AE15)</f>
        <v/>
      </c>
      <c r="AG15" s="9">
        <f>(V15-Config!$B$7)/(Config!$B$8-Config!$B$7)</f>
        <v/>
      </c>
      <c r="AH15" s="9">
        <f>(MIN(AC15/Config!$B$9,1)+MIN(AF15/Config!$B$10,1))/2</f>
        <v/>
      </c>
      <c r="AI15" s="12">
        <f>ROUND((AG15*AH15*G15)^(1/3),3)</f>
        <v/>
      </c>
      <c r="AJ15" s="12" t="n">
        <v>0.6870000000000001</v>
      </c>
      <c r="AK15" s="13">
        <f>AI15-AJ15</f>
        <v/>
      </c>
      <c r="AL15" s="13">
        <f>AK15-AVERAGE($AK$2:$AK$173)</f>
        <v/>
      </c>
      <c r="AM15" s="6">
        <f>IF(ABS(AL15)&gt;Config!$B$11,"REVIEW","")</f>
        <v/>
      </c>
      <c r="AN15" s="14">
        <f>RANK(AI15,$AI$2:$AI$173)</f>
        <v/>
      </c>
      <c r="AO15" s="14">
        <f>RANK(AJ15,$AJ$2:$AJ$173)</f>
        <v/>
      </c>
      <c r="AP15" s="14" t="n">
        <v>15</v>
      </c>
    </row>
    <row r="16">
      <c r="A16" s="6" t="inlineStr">
        <is>
          <t>Candenat</t>
        </is>
      </c>
      <c r="B16" s="6" t="inlineStr">
        <is>
          <t>Acrola</t>
        </is>
      </c>
      <c r="C16" s="6" t="inlineStr">
        <is>
          <t>—</t>
        </is>
      </c>
      <c r="D16" s="7" t="n">
        <v>2413</v>
      </c>
      <c r="E16" s="8">
        <f>D16*Config!$B$4</f>
        <v/>
      </c>
      <c r="F16" s="6">
        <f>LN(MAX(60,E16))</f>
        <v/>
      </c>
      <c r="G16" s="9">
        <f>MEDIAN(0,(F16-LN(Config!$B$5))/(LN(Config!$B$6)-LN(Config!$B$5)),1)</f>
        <v/>
      </c>
      <c r="H16" s="6">
        <f>MOD((Config!$B$2+$AP16*7919)*9301+49297,233280)/233280</f>
        <v/>
      </c>
      <c r="I16" s="6">
        <f>MOD((Config!$B$2+$AP16*104729)*4096+150889,714025)/714025</f>
        <v/>
      </c>
      <c r="J16" s="6">
        <f>MOD((Config!$B$2*31+$AP16*15485863)*1366+150889,714025)/714025</f>
        <v/>
      </c>
      <c r="K16" s="6" t="n"/>
      <c r="L16" s="6" t="n"/>
      <c r="M16" s="6">
        <f>COUNTIF(Siblings!$A$2:$A$84,B16)</f>
        <v/>
      </c>
      <c r="N16" s="6">
        <f>1+INT(J16*M16)</f>
        <v/>
      </c>
      <c r="O16" s="6">
        <f>IF(K16&lt;&gt;"",K16,IFERROR(INDEX(Siblings!$D$2:$D$84,MATCH(B16&amp;"|"&amp;N16,Siblings!$F$2:$F$84,0)),0))</f>
        <v/>
      </c>
      <c r="P16" s="6">
        <f>IF(L16&lt;&gt;"",L16,IFERROR(INDEX(Siblings!$E$2:$E$84,MATCH(B16&amp;"|"&amp;N16,Siblings!$F$2:$F$84,0)),0))</f>
        <v/>
      </c>
      <c r="Q16" s="6">
        <f>(INDEX('Earth curves'!$B$2:$B$46,MAX(1,MIN(44,IFERROR(MATCH(F16,'Earth curves'!$A$2:$A$46,1),1))))+(F16-INDEX('Earth curves'!$A$2:$A$46,MAX(1,MIN(44,IFERROR(MATCH(F16,'Earth curves'!$A$2:$A$46,1),1)))))*(INDEX('Earth curves'!$B$2:$B$46,MAX(1,MIN(44,IFERROR(MATCH(F16,'Earth curves'!$A$2:$A$46,1),1)))+1)-INDEX('Earth curves'!$B$2:$B$46,MAX(1,MIN(44,IFERROR(MATCH(F16,'Earth curves'!$A$2:$A$46,1),1)))))/(INDEX('Earth curves'!$A$2:$A$46,MAX(1,MIN(44,IFERROR(MATCH(F16,'Earth curves'!$A$2:$A$46,1),1)))+1)-INDEX('Earth curves'!$A$2:$A$46,MAX(1,MIN(44,IFERROR(MATCH(F16,'Earth curves'!$A$2:$A$46,1),1))))))</f>
        <v/>
      </c>
      <c r="R16" s="6">
        <f>(INDEX('Earth curves'!$C$2:$C$46,MAX(1,MIN(44,IFERROR(MATCH(F16,'Earth curves'!$A$2:$A$46,1),1))))+(F16-INDEX('Earth curves'!$A$2:$A$46,MAX(1,MIN(44,IFERROR(MATCH(F16,'Earth curves'!$A$2:$A$46,1),1)))))*(INDEX('Earth curves'!$C$2:$C$46,MAX(1,MIN(44,IFERROR(MATCH(F16,'Earth curves'!$A$2:$A$46,1),1)))+1)-INDEX('Earth curves'!$C$2:$C$46,MAX(1,MIN(44,IFERROR(MATCH(F16,'Earth curves'!$A$2:$A$46,1),1)))))/(INDEX('Earth curves'!$A$2:$A$46,MAX(1,MIN(44,IFERROR(MATCH(F16,'Earth curves'!$A$2:$A$46,1),1)))+1)-INDEX('Earth curves'!$A$2:$A$46,MAX(1,MIN(44,IFERROR(MATCH(F16,'Earth curves'!$A$2:$A$46,1),1))))))</f>
        <v/>
      </c>
      <c r="S16" s="6">
        <f>MEDIAN(0.307692,Q16+MEDIAN(-0.350583,O16+NORMSINV(H16)*0.064828*Config!$B$3,0.120277),0.993846)</f>
        <v/>
      </c>
      <c r="T16" s="10">
        <f>ROUND(Config!$B$7+(Config!$B$8-Config!$B$7)*S16,1)</f>
        <v/>
      </c>
      <c r="U16" s="11" t="n"/>
      <c r="V16" s="10">
        <f>IF(U16="",T16,U16)</f>
        <v/>
      </c>
      <c r="W16" s="6">
        <f>MEDIAN(0.05,R16+MEDIAN(-0.302219,P16+NORMSINV(I16)*0.089531*Config!$B$3,0.274961),0.999)</f>
        <v/>
      </c>
      <c r="X16" s="6">
        <f>(INDEX('Earth curves'!$F$2:$F$46,MAX(1,MIN(44,IFERROR(MATCH(W16,'Earth curves'!$E$2:$E$46,1),1))))+(W16-INDEX('Earth curves'!$E$2:$E$46,MAX(1,MIN(44,IFERROR(MATCH(W16,'Earth curves'!$E$2:$E$46,1),1)))))*(INDEX('Earth curves'!$F$2:$F$46,MAX(1,MIN(44,IFERROR(MATCH(W16,'Earth curves'!$E$2:$E$46,1),1)))+1)-INDEX('Earth curves'!$F$2:$F$46,MAX(1,MIN(44,IFERROR(MATCH(W16,'Earth curves'!$E$2:$E$46,1),1)))))/(INDEX('Earth curves'!$E$2:$E$46,MAX(1,MIN(44,IFERROR(MATCH(W16,'Earth curves'!$E$2:$E$46,1),1)))+1)-INDEX('Earth curves'!$E$2:$E$46,MAX(1,MIN(44,IFERROR(MATCH(W16,'Earth curves'!$E$2:$E$46,1),1))))))</f>
        <v/>
      </c>
      <c r="Y16" s="6">
        <f>(INDEX('Earth curves'!$G$2:$G$46,MAX(1,MIN(44,IFERROR(MATCH(W16,'Earth curves'!$E$2:$E$46,1),1))))+(W16-INDEX('Earth curves'!$E$2:$E$46,MAX(1,MIN(44,IFERROR(MATCH(W16,'Earth curves'!$E$2:$E$46,1),1)))))*(INDEX('Earth curves'!$G$2:$G$46,MAX(1,MIN(44,IFERROR(MATCH(W16,'Earth curves'!$E$2:$E$46,1),1)))+1)-INDEX('Earth curves'!$G$2:$G$46,MAX(1,MIN(44,IFERROR(MATCH(W16,'Earth curves'!$E$2:$E$46,1),1)))))/(INDEX('Earth curves'!$E$2:$E$46,MAX(1,MIN(44,IFERROR(MATCH(W16,'Earth curves'!$E$2:$E$46,1),1)))+1)-INDEX('Earth curves'!$E$2:$E$46,MAX(1,MIN(44,IFERROR(MATCH(W16,'Earth curves'!$E$2:$E$46,1),1))))))</f>
        <v/>
      </c>
      <c r="Z16" s="6">
        <f>(MIN(X16/Config!$B$9,1)+MIN(Y16/Config!$B$10,1))/2</f>
        <v/>
      </c>
      <c r="AA16" s="10">
        <f>ROUND(MIN(22,MAX(3,X16*W16/Z16)),1)</f>
        <v/>
      </c>
      <c r="AB16" s="11" t="n"/>
      <c r="AC16" s="10">
        <f>IF(AB16="",AA16,AB16)</f>
        <v/>
      </c>
      <c r="AD16" s="10">
        <f>ROUND(MIN(Config!$B$10,MAX(1,Y16*W16/Z16)),1)</f>
        <v/>
      </c>
      <c r="AE16" s="11" t="n"/>
      <c r="AF16" s="10">
        <f>IF(AE16="",AD16,AE16)</f>
        <v/>
      </c>
      <c r="AG16" s="9">
        <f>(V16-Config!$B$7)/(Config!$B$8-Config!$B$7)</f>
        <v/>
      </c>
      <c r="AH16" s="9">
        <f>(MIN(AC16/Config!$B$9,1)+MIN(AF16/Config!$B$10,1))/2</f>
        <v/>
      </c>
      <c r="AI16" s="12">
        <f>ROUND((AG16*AH16*G16)^(1/3),3)</f>
        <v/>
      </c>
      <c r="AJ16" s="12" t="n">
        <v>0.427</v>
      </c>
      <c r="AK16" s="13">
        <f>AI16-AJ16</f>
        <v/>
      </c>
      <c r="AL16" s="13">
        <f>AK16-AVERAGE($AK$2:$AK$173)</f>
        <v/>
      </c>
      <c r="AM16" s="6">
        <f>IF(ABS(AL16)&gt;Config!$B$11,"REVIEW","")</f>
        <v/>
      </c>
      <c r="AN16" s="14">
        <f>RANK(AI16,$AI$2:$AI$173)</f>
        <v/>
      </c>
      <c r="AO16" s="14">
        <f>RANK(AJ16,$AJ$2:$AJ$173)</f>
        <v/>
      </c>
      <c r="AP16" s="14" t="n">
        <v>16</v>
      </c>
    </row>
    <row r="17">
      <c r="A17" s="6" t="inlineStr">
        <is>
          <t>Canldives</t>
        </is>
      </c>
      <c r="B17" s="6" t="inlineStr">
        <is>
          <t>Massir</t>
        </is>
      </c>
      <c r="C17" s="6" t="inlineStr">
        <is>
          <t>militarised</t>
        </is>
      </c>
      <c r="D17" s="7" t="n">
        <v>67937</v>
      </c>
      <c r="E17" s="8">
        <f>D17*Config!$B$4</f>
        <v/>
      </c>
      <c r="F17" s="6">
        <f>LN(MAX(60,E17))</f>
        <v/>
      </c>
      <c r="G17" s="9">
        <f>MEDIAN(0,(F17-LN(Config!$B$5))/(LN(Config!$B$6)-LN(Config!$B$5)),1)</f>
        <v/>
      </c>
      <c r="H17" s="6">
        <f>MOD((Config!$B$2+$AP17*7919)*9301+49297,233280)/233280</f>
        <v/>
      </c>
      <c r="I17" s="6">
        <f>MOD((Config!$B$2+$AP17*104729)*4096+150889,714025)/714025</f>
        <v/>
      </c>
      <c r="J17" s="6">
        <f>MOD((Config!$B$2*31+$AP17*15485863)*1366+150889,714025)/714025</f>
        <v/>
      </c>
      <c r="K17" s="6" t="n"/>
      <c r="L17" s="6" t="n"/>
      <c r="M17" s="6">
        <f>COUNTIF(Siblings!$A$2:$A$84,B17)</f>
        <v/>
      </c>
      <c r="N17" s="6">
        <f>1+INT(J17*M17)</f>
        <v/>
      </c>
      <c r="O17" s="6">
        <f>IF(K17&lt;&gt;"",K17,IFERROR(INDEX(Siblings!$D$2:$D$84,MATCH(B17&amp;"|"&amp;N17,Siblings!$F$2:$F$84,0)),0))</f>
        <v/>
      </c>
      <c r="P17" s="6">
        <f>IF(L17&lt;&gt;"",L17,IFERROR(INDEX(Siblings!$E$2:$E$84,MATCH(B17&amp;"|"&amp;N17,Siblings!$F$2:$F$84,0)),0))</f>
        <v/>
      </c>
      <c r="Q17" s="6">
        <f>(INDEX('Earth curves'!$B$2:$B$46,MAX(1,MIN(44,IFERROR(MATCH(F17,'Earth curves'!$A$2:$A$46,1),1))))+(F17-INDEX('Earth curves'!$A$2:$A$46,MAX(1,MIN(44,IFERROR(MATCH(F17,'Earth curves'!$A$2:$A$46,1),1)))))*(INDEX('Earth curves'!$B$2:$B$46,MAX(1,MIN(44,IFERROR(MATCH(F17,'Earth curves'!$A$2:$A$46,1),1)))+1)-INDEX('Earth curves'!$B$2:$B$46,MAX(1,MIN(44,IFERROR(MATCH(F17,'Earth curves'!$A$2:$A$46,1),1)))))/(INDEX('Earth curves'!$A$2:$A$46,MAX(1,MIN(44,IFERROR(MATCH(F17,'Earth curves'!$A$2:$A$46,1),1)))+1)-INDEX('Earth curves'!$A$2:$A$46,MAX(1,MIN(44,IFERROR(MATCH(F17,'Earth curves'!$A$2:$A$46,1),1))))))</f>
        <v/>
      </c>
      <c r="R17" s="6">
        <f>(INDEX('Earth curves'!$C$2:$C$46,MAX(1,MIN(44,IFERROR(MATCH(F17,'Earth curves'!$A$2:$A$46,1),1))))+(F17-INDEX('Earth curves'!$A$2:$A$46,MAX(1,MIN(44,IFERROR(MATCH(F17,'Earth curves'!$A$2:$A$46,1),1)))))*(INDEX('Earth curves'!$C$2:$C$46,MAX(1,MIN(44,IFERROR(MATCH(F17,'Earth curves'!$A$2:$A$46,1),1)))+1)-INDEX('Earth curves'!$C$2:$C$46,MAX(1,MIN(44,IFERROR(MATCH(F17,'Earth curves'!$A$2:$A$46,1),1)))))/(INDEX('Earth curves'!$A$2:$A$46,MAX(1,MIN(44,IFERROR(MATCH(F17,'Earth curves'!$A$2:$A$46,1),1)))+1)-INDEX('Earth curves'!$A$2:$A$46,MAX(1,MIN(44,IFERROR(MATCH(F17,'Earth curves'!$A$2:$A$46,1),1))))))</f>
        <v/>
      </c>
      <c r="S17" s="6">
        <f>MEDIAN(0.307692,Q17+MEDIAN(-0.350583,O17+NORMSINV(H17)*0.064828*Config!$B$3,0.120277),0.993846)</f>
        <v/>
      </c>
      <c r="T17" s="10">
        <f>ROUND(Config!$B$7+(Config!$B$8-Config!$B$7)*S17,1)</f>
        <v/>
      </c>
      <c r="U17" s="11" t="n"/>
      <c r="V17" s="10">
        <f>IF(U17="",T17,U17)</f>
        <v/>
      </c>
      <c r="W17" s="6">
        <f>MEDIAN(0.05,R17+MEDIAN(-0.302219,P17+NORMSINV(I17)*0.089531*Config!$B$3,0.274961),0.999)</f>
        <v/>
      </c>
      <c r="X17" s="6">
        <f>(INDEX('Earth curves'!$F$2:$F$46,MAX(1,MIN(44,IFERROR(MATCH(W17,'Earth curves'!$E$2:$E$46,1),1))))+(W17-INDEX('Earth curves'!$E$2:$E$46,MAX(1,MIN(44,IFERROR(MATCH(W17,'Earth curves'!$E$2:$E$46,1),1)))))*(INDEX('Earth curves'!$F$2:$F$46,MAX(1,MIN(44,IFERROR(MATCH(W17,'Earth curves'!$E$2:$E$46,1),1)))+1)-INDEX('Earth curves'!$F$2:$F$46,MAX(1,MIN(44,IFERROR(MATCH(W17,'Earth curves'!$E$2:$E$46,1),1)))))/(INDEX('Earth curves'!$E$2:$E$46,MAX(1,MIN(44,IFERROR(MATCH(W17,'Earth curves'!$E$2:$E$46,1),1)))+1)-INDEX('Earth curves'!$E$2:$E$46,MAX(1,MIN(44,IFERROR(MATCH(W17,'Earth curves'!$E$2:$E$46,1),1))))))</f>
        <v/>
      </c>
      <c r="Y17" s="6">
        <f>(INDEX('Earth curves'!$G$2:$G$46,MAX(1,MIN(44,IFERROR(MATCH(W17,'Earth curves'!$E$2:$E$46,1),1))))+(W17-INDEX('Earth curves'!$E$2:$E$46,MAX(1,MIN(44,IFERROR(MATCH(W17,'Earth curves'!$E$2:$E$46,1),1)))))*(INDEX('Earth curves'!$G$2:$G$46,MAX(1,MIN(44,IFERROR(MATCH(W17,'Earth curves'!$E$2:$E$46,1),1)))+1)-INDEX('Earth curves'!$G$2:$G$46,MAX(1,MIN(44,IFERROR(MATCH(W17,'Earth curves'!$E$2:$E$46,1),1)))))/(INDEX('Earth curves'!$E$2:$E$46,MAX(1,MIN(44,IFERROR(MATCH(W17,'Earth curves'!$E$2:$E$46,1),1)))+1)-INDEX('Earth curves'!$E$2:$E$46,MAX(1,MIN(44,IFERROR(MATCH(W17,'Earth curves'!$E$2:$E$46,1),1))))))</f>
        <v/>
      </c>
      <c r="Z17" s="6">
        <f>(MIN(X17/Config!$B$9,1)+MIN(Y17/Config!$B$10,1))/2</f>
        <v/>
      </c>
      <c r="AA17" s="10">
        <f>ROUND(MIN(22,MAX(3,X17*W17/Z17)),1)</f>
        <v/>
      </c>
      <c r="AB17" s="11" t="n"/>
      <c r="AC17" s="10">
        <f>IF(AB17="",AA17,AB17)</f>
        <v/>
      </c>
      <c r="AD17" s="10">
        <f>ROUND(MIN(Config!$B$10,MAX(1,Y17*W17/Z17)),1)</f>
        <v/>
      </c>
      <c r="AE17" s="11" t="n"/>
      <c r="AF17" s="10">
        <f>IF(AE17="",AD17,AE17)</f>
        <v/>
      </c>
      <c r="AG17" s="9">
        <f>(V17-Config!$B$7)/(Config!$B$8-Config!$B$7)</f>
        <v/>
      </c>
      <c r="AH17" s="9">
        <f>(MIN(AC17/Config!$B$9,1)+MIN(AF17/Config!$B$10,1))/2</f>
        <v/>
      </c>
      <c r="AI17" s="12">
        <f>ROUND((AG17*AH17*G17)^(1/3),3)</f>
        <v/>
      </c>
      <c r="AJ17" s="12" t="n">
        <v>0.8179999999999999</v>
      </c>
      <c r="AK17" s="13">
        <f>AI17-AJ17</f>
        <v/>
      </c>
      <c r="AL17" s="13">
        <f>AK17-AVERAGE($AK$2:$AK$173)</f>
        <v/>
      </c>
      <c r="AM17" s="6">
        <f>IF(ABS(AL17)&gt;Config!$B$11,"REVIEW","")</f>
        <v/>
      </c>
      <c r="AN17" s="14">
        <f>RANK(AI17,$AI$2:$AI$173)</f>
        <v/>
      </c>
      <c r="AO17" s="14">
        <f>RANK(AJ17,$AJ$2:$AJ$173)</f>
        <v/>
      </c>
      <c r="AP17" s="14" t="n">
        <v>17</v>
      </c>
    </row>
    <row r="18">
      <c r="A18" s="6" t="inlineStr">
        <is>
          <t>Chaenia</t>
        </is>
      </c>
      <c r="B18" s="6" t="inlineStr">
        <is>
          <t>Mahea</t>
        </is>
      </c>
      <c r="C18" s="6" t="inlineStr">
        <is>
          <t>resource</t>
        </is>
      </c>
      <c r="D18" s="7" t="n">
        <v>130159</v>
      </c>
      <c r="E18" s="8">
        <f>D18*Config!$B$4</f>
        <v/>
      </c>
      <c r="F18" s="6">
        <f>LN(MAX(60,E18))</f>
        <v/>
      </c>
      <c r="G18" s="9">
        <f>MEDIAN(0,(F18-LN(Config!$B$5))/(LN(Config!$B$6)-LN(Config!$B$5)),1)</f>
        <v/>
      </c>
      <c r="H18" s="6">
        <f>MOD((Config!$B$2+$AP18*7919)*9301+49297,233280)/233280</f>
        <v/>
      </c>
      <c r="I18" s="6">
        <f>MOD((Config!$B$2+$AP18*104729)*4096+150889,714025)/714025</f>
        <v/>
      </c>
      <c r="J18" s="6">
        <f>MOD((Config!$B$2*31+$AP18*15485863)*1366+150889,714025)/714025</f>
        <v/>
      </c>
      <c r="K18" s="6" t="n">
        <v>-0.004008</v>
      </c>
      <c r="L18" s="6" t="n">
        <v>-0.062879</v>
      </c>
      <c r="M18" s="6">
        <f>COUNTIF(Siblings!$A$2:$A$84,B18)</f>
        <v/>
      </c>
      <c r="N18" s="6">
        <f>1+INT(J18*M18)</f>
        <v/>
      </c>
      <c r="O18" s="6">
        <f>IF(K18&lt;&gt;"",K18,IFERROR(INDEX(Siblings!$D$2:$D$84,MATCH(B18&amp;"|"&amp;N18,Siblings!$F$2:$F$84,0)),0))</f>
        <v/>
      </c>
      <c r="P18" s="6">
        <f>IF(L18&lt;&gt;"",L18,IFERROR(INDEX(Siblings!$E$2:$E$84,MATCH(B18&amp;"|"&amp;N18,Siblings!$F$2:$F$84,0)),0))</f>
        <v/>
      </c>
      <c r="Q18" s="6">
        <f>(INDEX('Earth curves'!$B$2:$B$46,MAX(1,MIN(44,IFERROR(MATCH(F18,'Earth curves'!$A$2:$A$46,1),1))))+(F18-INDEX('Earth curves'!$A$2:$A$46,MAX(1,MIN(44,IFERROR(MATCH(F18,'Earth curves'!$A$2:$A$46,1),1)))))*(INDEX('Earth curves'!$B$2:$B$46,MAX(1,MIN(44,IFERROR(MATCH(F18,'Earth curves'!$A$2:$A$46,1),1)))+1)-INDEX('Earth curves'!$B$2:$B$46,MAX(1,MIN(44,IFERROR(MATCH(F18,'Earth curves'!$A$2:$A$46,1),1)))))/(INDEX('Earth curves'!$A$2:$A$46,MAX(1,MIN(44,IFERROR(MATCH(F18,'Earth curves'!$A$2:$A$46,1),1)))+1)-INDEX('Earth curves'!$A$2:$A$46,MAX(1,MIN(44,IFERROR(MATCH(F18,'Earth curves'!$A$2:$A$46,1),1))))))</f>
        <v/>
      </c>
      <c r="R18" s="6">
        <f>(INDEX('Earth curves'!$C$2:$C$46,MAX(1,MIN(44,IFERROR(MATCH(F18,'Earth curves'!$A$2:$A$46,1),1))))+(F18-INDEX('Earth curves'!$A$2:$A$46,MAX(1,MIN(44,IFERROR(MATCH(F18,'Earth curves'!$A$2:$A$46,1),1)))))*(INDEX('Earth curves'!$C$2:$C$46,MAX(1,MIN(44,IFERROR(MATCH(F18,'Earth curves'!$A$2:$A$46,1),1)))+1)-INDEX('Earth curves'!$C$2:$C$46,MAX(1,MIN(44,IFERROR(MATCH(F18,'Earth curves'!$A$2:$A$46,1),1)))))/(INDEX('Earth curves'!$A$2:$A$46,MAX(1,MIN(44,IFERROR(MATCH(F18,'Earth curves'!$A$2:$A$46,1),1)))+1)-INDEX('Earth curves'!$A$2:$A$46,MAX(1,MIN(44,IFERROR(MATCH(F18,'Earth curves'!$A$2:$A$46,1),1))))))</f>
        <v/>
      </c>
      <c r="S18" s="6">
        <f>MEDIAN(0.307692,Q18+MEDIAN(-0.350583,O18+NORMSINV(H18)*0.064828*Config!$B$3,0.120277),0.993846)</f>
        <v/>
      </c>
      <c r="T18" s="10">
        <f>ROUND(Config!$B$7+(Config!$B$8-Config!$B$7)*S18,1)</f>
        <v/>
      </c>
      <c r="U18" s="11" t="n"/>
      <c r="V18" s="10">
        <f>IF(U18="",T18,U18)</f>
        <v/>
      </c>
      <c r="W18" s="6">
        <f>MEDIAN(0.05,R18+MEDIAN(-0.302219,P18+NORMSINV(I18)*0.089531*Config!$B$3,0.274961),0.999)</f>
        <v/>
      </c>
      <c r="X18" s="6">
        <f>(INDEX('Earth curves'!$F$2:$F$46,MAX(1,MIN(44,IFERROR(MATCH(W18,'Earth curves'!$E$2:$E$46,1),1))))+(W18-INDEX('Earth curves'!$E$2:$E$46,MAX(1,MIN(44,IFERROR(MATCH(W18,'Earth curves'!$E$2:$E$46,1),1)))))*(INDEX('Earth curves'!$F$2:$F$46,MAX(1,MIN(44,IFERROR(MATCH(W18,'Earth curves'!$E$2:$E$46,1),1)))+1)-INDEX('Earth curves'!$F$2:$F$46,MAX(1,MIN(44,IFERROR(MATCH(W18,'Earth curves'!$E$2:$E$46,1),1)))))/(INDEX('Earth curves'!$E$2:$E$46,MAX(1,MIN(44,IFERROR(MATCH(W18,'Earth curves'!$E$2:$E$46,1),1)))+1)-INDEX('Earth curves'!$E$2:$E$46,MAX(1,MIN(44,IFERROR(MATCH(W18,'Earth curves'!$E$2:$E$46,1),1))))))</f>
        <v/>
      </c>
      <c r="Y18" s="6">
        <f>(INDEX('Earth curves'!$G$2:$G$46,MAX(1,MIN(44,IFERROR(MATCH(W18,'Earth curves'!$E$2:$E$46,1),1))))+(W18-INDEX('Earth curves'!$E$2:$E$46,MAX(1,MIN(44,IFERROR(MATCH(W18,'Earth curves'!$E$2:$E$46,1),1)))))*(INDEX('Earth curves'!$G$2:$G$46,MAX(1,MIN(44,IFERROR(MATCH(W18,'Earth curves'!$E$2:$E$46,1),1)))+1)-INDEX('Earth curves'!$G$2:$G$46,MAX(1,MIN(44,IFERROR(MATCH(W18,'Earth curves'!$E$2:$E$46,1),1)))))/(INDEX('Earth curves'!$E$2:$E$46,MAX(1,MIN(44,IFERROR(MATCH(W18,'Earth curves'!$E$2:$E$46,1),1)))+1)-INDEX('Earth curves'!$E$2:$E$46,MAX(1,MIN(44,IFERROR(MATCH(W18,'Earth curves'!$E$2:$E$46,1),1))))))</f>
        <v/>
      </c>
      <c r="Z18" s="6">
        <f>(MIN(X18/Config!$B$9,1)+MIN(Y18/Config!$B$10,1))/2</f>
        <v/>
      </c>
      <c r="AA18" s="10">
        <f>ROUND(MIN(22,MAX(3,X18*W18/Z18)),1)</f>
        <v/>
      </c>
      <c r="AB18" s="11" t="n"/>
      <c r="AC18" s="10">
        <f>IF(AB18="",AA18,AB18)</f>
        <v/>
      </c>
      <c r="AD18" s="10">
        <f>ROUND(MIN(Config!$B$10,MAX(1,Y18*W18/Z18)),1)</f>
        <v/>
      </c>
      <c r="AE18" s="11" t="n"/>
      <c r="AF18" s="10">
        <f>IF(AE18="",AD18,AE18)</f>
        <v/>
      </c>
      <c r="AG18" s="9">
        <f>(V18-Config!$B$7)/(Config!$B$8-Config!$B$7)</f>
        <v/>
      </c>
      <c r="AH18" s="9">
        <f>(MIN(AC18/Config!$B$9,1)+MIN(AF18/Config!$B$10,1))/2</f>
        <v/>
      </c>
      <c r="AI18" s="12">
        <f>ROUND((AG18*AH18*G18)^(1/3),3)</f>
        <v/>
      </c>
      <c r="AJ18" s="12" t="n">
        <v>0.921</v>
      </c>
      <c r="AK18" s="13">
        <f>AI18-AJ18</f>
        <v/>
      </c>
      <c r="AL18" s="13">
        <f>AK18-AVERAGE($AK$2:$AK$173)</f>
        <v/>
      </c>
      <c r="AM18" s="6">
        <f>IF(ABS(AL18)&gt;Config!$B$11,"REVIEW","")</f>
        <v/>
      </c>
      <c r="AN18" s="14">
        <f>RANK(AI18,$AI$2:$AI$173)</f>
        <v/>
      </c>
      <c r="AO18" s="14">
        <f>RANK(AJ18,$AJ$2:$AJ$173)</f>
        <v/>
      </c>
      <c r="AP18" s="14" t="n">
        <v>18</v>
      </c>
    </row>
    <row r="19">
      <c r="A19" s="6" t="inlineStr">
        <is>
          <t>Cloja</t>
        </is>
      </c>
      <c r="B19" s="6" t="inlineStr">
        <is>
          <t>Massir</t>
        </is>
      </c>
      <c r="C19" s="6" t="inlineStr">
        <is>
          <t>microstate, militarised</t>
        </is>
      </c>
      <c r="D19" s="7" t="n">
        <v>90159</v>
      </c>
      <c r="E19" s="8">
        <f>D19*Config!$B$4</f>
        <v/>
      </c>
      <c r="F19" s="6">
        <f>LN(MAX(60,E19))</f>
        <v/>
      </c>
      <c r="G19" s="9">
        <f>MEDIAN(0,(F19-LN(Config!$B$5))/(LN(Config!$B$6)-LN(Config!$B$5)),1)</f>
        <v/>
      </c>
      <c r="H19" s="6">
        <f>MOD((Config!$B$2+$AP19*7919)*9301+49297,233280)/233280</f>
        <v/>
      </c>
      <c r="I19" s="6">
        <f>MOD((Config!$B$2+$AP19*104729)*4096+150889,714025)/714025</f>
        <v/>
      </c>
      <c r="J19" s="6">
        <f>MOD((Config!$B$2*31+$AP19*15485863)*1366+150889,714025)/714025</f>
        <v/>
      </c>
      <c r="K19" s="6" t="n"/>
      <c r="L19" s="6" t="n"/>
      <c r="M19" s="6">
        <f>COUNTIF(Siblings!$A$2:$A$84,B19)</f>
        <v/>
      </c>
      <c r="N19" s="6">
        <f>1+INT(J19*M19)</f>
        <v/>
      </c>
      <c r="O19" s="6">
        <f>IF(K19&lt;&gt;"",K19,IFERROR(INDEX(Siblings!$D$2:$D$84,MATCH(B19&amp;"|"&amp;N19,Siblings!$F$2:$F$84,0)),0))</f>
        <v/>
      </c>
      <c r="P19" s="6">
        <f>IF(L19&lt;&gt;"",L19,IFERROR(INDEX(Siblings!$E$2:$E$84,MATCH(B19&amp;"|"&amp;N19,Siblings!$F$2:$F$84,0)),0))</f>
        <v/>
      </c>
      <c r="Q19" s="6">
        <f>(INDEX('Earth curves'!$B$2:$B$46,MAX(1,MIN(44,IFERROR(MATCH(F19,'Earth curves'!$A$2:$A$46,1),1))))+(F19-INDEX('Earth curves'!$A$2:$A$46,MAX(1,MIN(44,IFERROR(MATCH(F19,'Earth curves'!$A$2:$A$46,1),1)))))*(INDEX('Earth curves'!$B$2:$B$46,MAX(1,MIN(44,IFERROR(MATCH(F19,'Earth curves'!$A$2:$A$46,1),1)))+1)-INDEX('Earth curves'!$B$2:$B$46,MAX(1,MIN(44,IFERROR(MATCH(F19,'Earth curves'!$A$2:$A$46,1),1)))))/(INDEX('Earth curves'!$A$2:$A$46,MAX(1,MIN(44,IFERROR(MATCH(F19,'Earth curves'!$A$2:$A$46,1),1)))+1)-INDEX('Earth curves'!$A$2:$A$46,MAX(1,MIN(44,IFERROR(MATCH(F19,'Earth curves'!$A$2:$A$46,1),1))))))</f>
        <v/>
      </c>
      <c r="R19" s="6">
        <f>(INDEX('Earth curves'!$C$2:$C$46,MAX(1,MIN(44,IFERROR(MATCH(F19,'Earth curves'!$A$2:$A$46,1),1))))+(F19-INDEX('Earth curves'!$A$2:$A$46,MAX(1,MIN(44,IFERROR(MATCH(F19,'Earth curves'!$A$2:$A$46,1),1)))))*(INDEX('Earth curves'!$C$2:$C$46,MAX(1,MIN(44,IFERROR(MATCH(F19,'Earth curves'!$A$2:$A$46,1),1)))+1)-INDEX('Earth curves'!$C$2:$C$46,MAX(1,MIN(44,IFERROR(MATCH(F19,'Earth curves'!$A$2:$A$46,1),1)))))/(INDEX('Earth curves'!$A$2:$A$46,MAX(1,MIN(44,IFERROR(MATCH(F19,'Earth curves'!$A$2:$A$46,1),1)))+1)-INDEX('Earth curves'!$A$2:$A$46,MAX(1,MIN(44,IFERROR(MATCH(F19,'Earth curves'!$A$2:$A$46,1),1))))))</f>
        <v/>
      </c>
      <c r="S19" s="6">
        <f>MEDIAN(0.307692,Q19+MEDIAN(-0.350583,O19+NORMSINV(H19)*0.064828*Config!$B$3,0.120277),0.993846)</f>
        <v/>
      </c>
      <c r="T19" s="10">
        <f>ROUND(Config!$B$7+(Config!$B$8-Config!$B$7)*S19,1)</f>
        <v/>
      </c>
      <c r="U19" s="11" t="n"/>
      <c r="V19" s="10">
        <f>IF(U19="",T19,U19)</f>
        <v/>
      </c>
      <c r="W19" s="6">
        <f>MEDIAN(0.05,R19+MEDIAN(-0.302219,P19+NORMSINV(I19)*0.089531*Config!$B$3,0.274961),0.999)</f>
        <v/>
      </c>
      <c r="X19" s="6">
        <f>(INDEX('Earth curves'!$F$2:$F$46,MAX(1,MIN(44,IFERROR(MATCH(W19,'Earth curves'!$E$2:$E$46,1),1))))+(W19-INDEX('Earth curves'!$E$2:$E$46,MAX(1,MIN(44,IFERROR(MATCH(W19,'Earth curves'!$E$2:$E$46,1),1)))))*(INDEX('Earth curves'!$F$2:$F$46,MAX(1,MIN(44,IFERROR(MATCH(W19,'Earth curves'!$E$2:$E$46,1),1)))+1)-INDEX('Earth curves'!$F$2:$F$46,MAX(1,MIN(44,IFERROR(MATCH(W19,'Earth curves'!$E$2:$E$46,1),1)))))/(INDEX('Earth curves'!$E$2:$E$46,MAX(1,MIN(44,IFERROR(MATCH(W19,'Earth curves'!$E$2:$E$46,1),1)))+1)-INDEX('Earth curves'!$E$2:$E$46,MAX(1,MIN(44,IFERROR(MATCH(W19,'Earth curves'!$E$2:$E$46,1),1))))))</f>
        <v/>
      </c>
      <c r="Y19" s="6">
        <f>(INDEX('Earth curves'!$G$2:$G$46,MAX(1,MIN(44,IFERROR(MATCH(W19,'Earth curves'!$E$2:$E$46,1),1))))+(W19-INDEX('Earth curves'!$E$2:$E$46,MAX(1,MIN(44,IFERROR(MATCH(W19,'Earth curves'!$E$2:$E$46,1),1)))))*(INDEX('Earth curves'!$G$2:$G$46,MAX(1,MIN(44,IFERROR(MATCH(W19,'Earth curves'!$E$2:$E$46,1),1)))+1)-INDEX('Earth curves'!$G$2:$G$46,MAX(1,MIN(44,IFERROR(MATCH(W19,'Earth curves'!$E$2:$E$46,1),1)))))/(INDEX('Earth curves'!$E$2:$E$46,MAX(1,MIN(44,IFERROR(MATCH(W19,'Earth curves'!$E$2:$E$46,1),1)))+1)-INDEX('Earth curves'!$E$2:$E$46,MAX(1,MIN(44,IFERROR(MATCH(W19,'Earth curves'!$E$2:$E$46,1),1))))))</f>
        <v/>
      </c>
      <c r="Z19" s="6">
        <f>(MIN(X19/Config!$B$9,1)+MIN(Y19/Config!$B$10,1))/2</f>
        <v/>
      </c>
      <c r="AA19" s="10">
        <f>ROUND(MIN(22,MAX(3,X19*W19/Z19)),1)</f>
        <v/>
      </c>
      <c r="AB19" s="11" t="n"/>
      <c r="AC19" s="10">
        <f>IF(AB19="",AA19,AB19)</f>
        <v/>
      </c>
      <c r="AD19" s="10">
        <f>ROUND(MIN(Config!$B$10,MAX(1,Y19*W19/Z19)),1)</f>
        <v/>
      </c>
      <c r="AE19" s="11" t="n"/>
      <c r="AF19" s="10">
        <f>IF(AE19="",AD19,AE19)</f>
        <v/>
      </c>
      <c r="AG19" s="9">
        <f>(V19-Config!$B$7)/(Config!$B$8-Config!$B$7)</f>
        <v/>
      </c>
      <c r="AH19" s="9">
        <f>(MIN(AC19/Config!$B$9,1)+MIN(AF19/Config!$B$10,1))/2</f>
        <v/>
      </c>
      <c r="AI19" s="12">
        <f>ROUND((AG19*AH19*G19)^(1/3),3)</f>
        <v/>
      </c>
      <c r="AJ19" s="12" t="n">
        <v>0.752</v>
      </c>
      <c r="AK19" s="13">
        <f>AI19-AJ19</f>
        <v/>
      </c>
      <c r="AL19" s="13">
        <f>AK19-AVERAGE($AK$2:$AK$173)</f>
        <v/>
      </c>
      <c r="AM19" s="6">
        <f>IF(ABS(AL19)&gt;Config!$B$11,"REVIEW","")</f>
        <v/>
      </c>
      <c r="AN19" s="14">
        <f>RANK(AI19,$AI$2:$AI$173)</f>
        <v/>
      </c>
      <c r="AO19" s="14">
        <f>RANK(AJ19,$AJ$2:$AJ$173)</f>
        <v/>
      </c>
      <c r="AP19" s="14" t="n">
        <v>19</v>
      </c>
    </row>
    <row r="20">
      <c r="A20" s="6" t="inlineStr">
        <is>
          <t>Crila Republic</t>
        </is>
      </c>
      <c r="B20" s="6" t="inlineStr">
        <is>
          <t>New Ayre</t>
        </is>
      </c>
      <c r="C20" s="6" t="inlineStr">
        <is>
          <t>—</t>
        </is>
      </c>
      <c r="D20" s="7" t="n">
        <v>95143</v>
      </c>
      <c r="E20" s="8">
        <f>D20*Config!$B$4</f>
        <v/>
      </c>
      <c r="F20" s="6">
        <f>LN(MAX(60,E20))</f>
        <v/>
      </c>
      <c r="G20" s="9">
        <f>MEDIAN(0,(F20-LN(Config!$B$5))/(LN(Config!$B$6)-LN(Config!$B$5)),1)</f>
        <v/>
      </c>
      <c r="H20" s="6">
        <f>MOD((Config!$B$2+$AP20*7919)*9301+49297,233280)/233280</f>
        <v/>
      </c>
      <c r="I20" s="6">
        <f>MOD((Config!$B$2+$AP20*104729)*4096+150889,714025)/714025</f>
        <v/>
      </c>
      <c r="J20" s="6">
        <f>MOD((Config!$B$2*31+$AP20*15485863)*1366+150889,714025)/714025</f>
        <v/>
      </c>
      <c r="K20" s="6" t="n"/>
      <c r="L20" s="6" t="n"/>
      <c r="M20" s="6">
        <f>COUNTIF(Siblings!$A$2:$A$84,B20)</f>
        <v/>
      </c>
      <c r="N20" s="6">
        <f>1+INT(J20*M20)</f>
        <v/>
      </c>
      <c r="O20" s="6">
        <f>IF(K20&lt;&gt;"",K20,IFERROR(INDEX(Siblings!$D$2:$D$84,MATCH(B20&amp;"|"&amp;N20,Siblings!$F$2:$F$84,0)),0))</f>
        <v/>
      </c>
      <c r="P20" s="6">
        <f>IF(L20&lt;&gt;"",L20,IFERROR(INDEX(Siblings!$E$2:$E$84,MATCH(B20&amp;"|"&amp;N20,Siblings!$F$2:$F$84,0)),0))</f>
        <v/>
      </c>
      <c r="Q20" s="6">
        <f>(INDEX('Earth curves'!$B$2:$B$46,MAX(1,MIN(44,IFERROR(MATCH(F20,'Earth curves'!$A$2:$A$46,1),1))))+(F20-INDEX('Earth curves'!$A$2:$A$46,MAX(1,MIN(44,IFERROR(MATCH(F20,'Earth curves'!$A$2:$A$46,1),1)))))*(INDEX('Earth curves'!$B$2:$B$46,MAX(1,MIN(44,IFERROR(MATCH(F20,'Earth curves'!$A$2:$A$46,1),1)))+1)-INDEX('Earth curves'!$B$2:$B$46,MAX(1,MIN(44,IFERROR(MATCH(F20,'Earth curves'!$A$2:$A$46,1),1)))))/(INDEX('Earth curves'!$A$2:$A$46,MAX(1,MIN(44,IFERROR(MATCH(F20,'Earth curves'!$A$2:$A$46,1),1)))+1)-INDEX('Earth curves'!$A$2:$A$46,MAX(1,MIN(44,IFERROR(MATCH(F20,'Earth curves'!$A$2:$A$46,1),1))))))</f>
        <v/>
      </c>
      <c r="R20" s="6">
        <f>(INDEX('Earth curves'!$C$2:$C$46,MAX(1,MIN(44,IFERROR(MATCH(F20,'Earth curves'!$A$2:$A$46,1),1))))+(F20-INDEX('Earth curves'!$A$2:$A$46,MAX(1,MIN(44,IFERROR(MATCH(F20,'Earth curves'!$A$2:$A$46,1),1)))))*(INDEX('Earth curves'!$C$2:$C$46,MAX(1,MIN(44,IFERROR(MATCH(F20,'Earth curves'!$A$2:$A$46,1),1)))+1)-INDEX('Earth curves'!$C$2:$C$46,MAX(1,MIN(44,IFERROR(MATCH(F20,'Earth curves'!$A$2:$A$46,1),1)))))/(INDEX('Earth curves'!$A$2:$A$46,MAX(1,MIN(44,IFERROR(MATCH(F20,'Earth curves'!$A$2:$A$46,1),1)))+1)-INDEX('Earth curves'!$A$2:$A$46,MAX(1,MIN(44,IFERROR(MATCH(F20,'Earth curves'!$A$2:$A$46,1),1))))))</f>
        <v/>
      </c>
      <c r="S20" s="6">
        <f>MEDIAN(0.307692,Q20+MEDIAN(-0.350583,O20+NORMSINV(H20)*0.064828*Config!$B$3,0.120277),0.993846)</f>
        <v/>
      </c>
      <c r="T20" s="10">
        <f>ROUND(Config!$B$7+(Config!$B$8-Config!$B$7)*S20,1)</f>
        <v/>
      </c>
      <c r="U20" s="11" t="n"/>
      <c r="V20" s="10">
        <f>IF(U20="",T20,U20)</f>
        <v/>
      </c>
      <c r="W20" s="6">
        <f>MEDIAN(0.05,R20+MEDIAN(-0.302219,P20+NORMSINV(I20)*0.089531*Config!$B$3,0.274961),0.999)</f>
        <v/>
      </c>
      <c r="X20" s="6">
        <f>(INDEX('Earth curves'!$F$2:$F$46,MAX(1,MIN(44,IFERROR(MATCH(W20,'Earth curves'!$E$2:$E$46,1),1))))+(W20-INDEX('Earth curves'!$E$2:$E$46,MAX(1,MIN(44,IFERROR(MATCH(W20,'Earth curves'!$E$2:$E$46,1),1)))))*(INDEX('Earth curves'!$F$2:$F$46,MAX(1,MIN(44,IFERROR(MATCH(W20,'Earth curves'!$E$2:$E$46,1),1)))+1)-INDEX('Earth curves'!$F$2:$F$46,MAX(1,MIN(44,IFERROR(MATCH(W20,'Earth curves'!$E$2:$E$46,1),1)))))/(INDEX('Earth curves'!$E$2:$E$46,MAX(1,MIN(44,IFERROR(MATCH(W20,'Earth curves'!$E$2:$E$46,1),1)))+1)-INDEX('Earth curves'!$E$2:$E$46,MAX(1,MIN(44,IFERROR(MATCH(W20,'Earth curves'!$E$2:$E$46,1),1))))))</f>
        <v/>
      </c>
      <c r="Y20" s="6">
        <f>(INDEX('Earth curves'!$G$2:$G$46,MAX(1,MIN(44,IFERROR(MATCH(W20,'Earth curves'!$E$2:$E$46,1),1))))+(W20-INDEX('Earth curves'!$E$2:$E$46,MAX(1,MIN(44,IFERROR(MATCH(W20,'Earth curves'!$E$2:$E$46,1),1)))))*(INDEX('Earth curves'!$G$2:$G$46,MAX(1,MIN(44,IFERROR(MATCH(W20,'Earth curves'!$E$2:$E$46,1),1)))+1)-INDEX('Earth curves'!$G$2:$G$46,MAX(1,MIN(44,IFERROR(MATCH(W20,'Earth curves'!$E$2:$E$46,1),1)))))/(INDEX('Earth curves'!$E$2:$E$46,MAX(1,MIN(44,IFERROR(MATCH(W20,'Earth curves'!$E$2:$E$46,1),1)))+1)-INDEX('Earth curves'!$E$2:$E$46,MAX(1,MIN(44,IFERROR(MATCH(W20,'Earth curves'!$E$2:$E$46,1),1))))))</f>
        <v/>
      </c>
      <c r="Z20" s="6">
        <f>(MIN(X20/Config!$B$9,1)+MIN(Y20/Config!$B$10,1))/2</f>
        <v/>
      </c>
      <c r="AA20" s="10">
        <f>ROUND(MIN(22,MAX(3,X20*W20/Z20)),1)</f>
        <v/>
      </c>
      <c r="AB20" s="11" t="n"/>
      <c r="AC20" s="10">
        <f>IF(AB20="",AA20,AB20)</f>
        <v/>
      </c>
      <c r="AD20" s="10">
        <f>ROUND(MIN(Config!$B$10,MAX(1,Y20*W20/Z20)),1)</f>
        <v/>
      </c>
      <c r="AE20" s="11" t="n"/>
      <c r="AF20" s="10">
        <f>IF(AE20="",AD20,AE20)</f>
        <v/>
      </c>
      <c r="AG20" s="9">
        <f>(V20-Config!$B$7)/(Config!$B$8-Config!$B$7)</f>
        <v/>
      </c>
      <c r="AH20" s="9">
        <f>(MIN(AC20/Config!$B$9,1)+MIN(AF20/Config!$B$10,1))/2</f>
        <v/>
      </c>
      <c r="AI20" s="12">
        <f>ROUND((AG20*AH20*G20)^(1/3),3)</f>
        <v/>
      </c>
      <c r="AJ20" s="12" t="n">
        <v>0.858</v>
      </c>
      <c r="AK20" s="13">
        <f>AI20-AJ20</f>
        <v/>
      </c>
      <c r="AL20" s="13">
        <f>AK20-AVERAGE($AK$2:$AK$173)</f>
        <v/>
      </c>
      <c r="AM20" s="6">
        <f>IF(ABS(AL20)&gt;Config!$B$11,"REVIEW","")</f>
        <v/>
      </c>
      <c r="AN20" s="14">
        <f>RANK(AI20,$AI$2:$AI$173)</f>
        <v/>
      </c>
      <c r="AO20" s="14">
        <f>RANK(AJ20,$AJ$2:$AJ$173)</f>
        <v/>
      </c>
      <c r="AP20" s="14" t="n">
        <v>20</v>
      </c>
    </row>
    <row r="21">
      <c r="A21" s="6" t="inlineStr">
        <is>
          <t>Cruthi Anoso</t>
        </is>
      </c>
      <c r="B21" s="6" t="inlineStr">
        <is>
          <t>Mahea</t>
        </is>
      </c>
      <c r="C21" s="6" t="inlineStr">
        <is>
          <t>microstate</t>
        </is>
      </c>
      <c r="D21" s="7" t="n">
        <v>15111</v>
      </c>
      <c r="E21" s="8">
        <f>D21*Config!$B$4</f>
        <v/>
      </c>
      <c r="F21" s="6">
        <f>LN(MAX(60,E21))</f>
        <v/>
      </c>
      <c r="G21" s="9">
        <f>MEDIAN(0,(F21-LN(Config!$B$5))/(LN(Config!$B$6)-LN(Config!$B$5)),1)</f>
        <v/>
      </c>
      <c r="H21" s="6">
        <f>MOD((Config!$B$2+$AP21*7919)*9301+49297,233280)/233280</f>
        <v/>
      </c>
      <c r="I21" s="6">
        <f>MOD((Config!$B$2+$AP21*104729)*4096+150889,714025)/714025</f>
        <v/>
      </c>
      <c r="J21" s="6">
        <f>MOD((Config!$B$2*31+$AP21*15485863)*1366+150889,714025)/714025</f>
        <v/>
      </c>
      <c r="K21" s="6" t="n"/>
      <c r="L21" s="6" t="n"/>
      <c r="M21" s="6">
        <f>COUNTIF(Siblings!$A$2:$A$84,B21)</f>
        <v/>
      </c>
      <c r="N21" s="6">
        <f>1+INT(J21*M21)</f>
        <v/>
      </c>
      <c r="O21" s="6">
        <f>IF(K21&lt;&gt;"",K21,IFERROR(INDEX(Siblings!$D$2:$D$84,MATCH(B21&amp;"|"&amp;N21,Siblings!$F$2:$F$84,0)),0))</f>
        <v/>
      </c>
      <c r="P21" s="6">
        <f>IF(L21&lt;&gt;"",L21,IFERROR(INDEX(Siblings!$E$2:$E$84,MATCH(B21&amp;"|"&amp;N21,Siblings!$F$2:$F$84,0)),0))</f>
        <v/>
      </c>
      <c r="Q21" s="6">
        <f>(INDEX('Earth curves'!$B$2:$B$46,MAX(1,MIN(44,IFERROR(MATCH(F21,'Earth curves'!$A$2:$A$46,1),1))))+(F21-INDEX('Earth curves'!$A$2:$A$46,MAX(1,MIN(44,IFERROR(MATCH(F21,'Earth curves'!$A$2:$A$46,1),1)))))*(INDEX('Earth curves'!$B$2:$B$46,MAX(1,MIN(44,IFERROR(MATCH(F21,'Earth curves'!$A$2:$A$46,1),1)))+1)-INDEX('Earth curves'!$B$2:$B$46,MAX(1,MIN(44,IFERROR(MATCH(F21,'Earth curves'!$A$2:$A$46,1),1)))))/(INDEX('Earth curves'!$A$2:$A$46,MAX(1,MIN(44,IFERROR(MATCH(F21,'Earth curves'!$A$2:$A$46,1),1)))+1)-INDEX('Earth curves'!$A$2:$A$46,MAX(1,MIN(44,IFERROR(MATCH(F21,'Earth curves'!$A$2:$A$46,1),1))))))</f>
        <v/>
      </c>
      <c r="R21" s="6">
        <f>(INDEX('Earth curves'!$C$2:$C$46,MAX(1,MIN(44,IFERROR(MATCH(F21,'Earth curves'!$A$2:$A$46,1),1))))+(F21-INDEX('Earth curves'!$A$2:$A$46,MAX(1,MIN(44,IFERROR(MATCH(F21,'Earth curves'!$A$2:$A$46,1),1)))))*(INDEX('Earth curves'!$C$2:$C$46,MAX(1,MIN(44,IFERROR(MATCH(F21,'Earth curves'!$A$2:$A$46,1),1)))+1)-INDEX('Earth curves'!$C$2:$C$46,MAX(1,MIN(44,IFERROR(MATCH(F21,'Earth curves'!$A$2:$A$46,1),1)))))/(INDEX('Earth curves'!$A$2:$A$46,MAX(1,MIN(44,IFERROR(MATCH(F21,'Earth curves'!$A$2:$A$46,1),1)))+1)-INDEX('Earth curves'!$A$2:$A$46,MAX(1,MIN(44,IFERROR(MATCH(F21,'Earth curves'!$A$2:$A$46,1),1))))))</f>
        <v/>
      </c>
      <c r="S21" s="6">
        <f>MEDIAN(0.307692,Q21+MEDIAN(-0.350583,O21+NORMSINV(H21)*0.064828*Config!$B$3,0.120277),0.993846)</f>
        <v/>
      </c>
      <c r="T21" s="10">
        <f>ROUND(Config!$B$7+(Config!$B$8-Config!$B$7)*S21,1)</f>
        <v/>
      </c>
      <c r="U21" s="11" t="n"/>
      <c r="V21" s="10">
        <f>IF(U21="",T21,U21)</f>
        <v/>
      </c>
      <c r="W21" s="6">
        <f>MEDIAN(0.05,R21+MEDIAN(-0.302219,P21+NORMSINV(I21)*0.089531*Config!$B$3,0.274961),0.999)</f>
        <v/>
      </c>
      <c r="X21" s="6">
        <f>(INDEX('Earth curves'!$F$2:$F$46,MAX(1,MIN(44,IFERROR(MATCH(W21,'Earth curves'!$E$2:$E$46,1),1))))+(W21-INDEX('Earth curves'!$E$2:$E$46,MAX(1,MIN(44,IFERROR(MATCH(W21,'Earth curves'!$E$2:$E$46,1),1)))))*(INDEX('Earth curves'!$F$2:$F$46,MAX(1,MIN(44,IFERROR(MATCH(W21,'Earth curves'!$E$2:$E$46,1),1)))+1)-INDEX('Earth curves'!$F$2:$F$46,MAX(1,MIN(44,IFERROR(MATCH(W21,'Earth curves'!$E$2:$E$46,1),1)))))/(INDEX('Earth curves'!$E$2:$E$46,MAX(1,MIN(44,IFERROR(MATCH(W21,'Earth curves'!$E$2:$E$46,1),1)))+1)-INDEX('Earth curves'!$E$2:$E$46,MAX(1,MIN(44,IFERROR(MATCH(W21,'Earth curves'!$E$2:$E$46,1),1))))))</f>
        <v/>
      </c>
      <c r="Y21" s="6">
        <f>(INDEX('Earth curves'!$G$2:$G$46,MAX(1,MIN(44,IFERROR(MATCH(W21,'Earth curves'!$E$2:$E$46,1),1))))+(W21-INDEX('Earth curves'!$E$2:$E$46,MAX(1,MIN(44,IFERROR(MATCH(W21,'Earth curves'!$E$2:$E$46,1),1)))))*(INDEX('Earth curves'!$G$2:$G$46,MAX(1,MIN(44,IFERROR(MATCH(W21,'Earth curves'!$E$2:$E$46,1),1)))+1)-INDEX('Earth curves'!$G$2:$G$46,MAX(1,MIN(44,IFERROR(MATCH(W21,'Earth curves'!$E$2:$E$46,1),1)))))/(INDEX('Earth curves'!$E$2:$E$46,MAX(1,MIN(44,IFERROR(MATCH(W21,'Earth curves'!$E$2:$E$46,1),1)))+1)-INDEX('Earth curves'!$E$2:$E$46,MAX(1,MIN(44,IFERROR(MATCH(W21,'Earth curves'!$E$2:$E$46,1),1))))))</f>
        <v/>
      </c>
      <c r="Z21" s="6">
        <f>(MIN(X21/Config!$B$9,1)+MIN(Y21/Config!$B$10,1))/2</f>
        <v/>
      </c>
      <c r="AA21" s="10">
        <f>ROUND(MIN(22,MAX(3,X21*W21/Z21)),1)</f>
        <v/>
      </c>
      <c r="AB21" s="11" t="n"/>
      <c r="AC21" s="10">
        <f>IF(AB21="",AA21,AB21)</f>
        <v/>
      </c>
      <c r="AD21" s="10">
        <f>ROUND(MIN(Config!$B$10,MAX(1,Y21*W21/Z21)),1)</f>
        <v/>
      </c>
      <c r="AE21" s="11" t="n"/>
      <c r="AF21" s="10">
        <f>IF(AE21="",AD21,AE21)</f>
        <v/>
      </c>
      <c r="AG21" s="9">
        <f>(V21-Config!$B$7)/(Config!$B$8-Config!$B$7)</f>
        <v/>
      </c>
      <c r="AH21" s="9">
        <f>(MIN(AC21/Config!$B$9,1)+MIN(AF21/Config!$B$10,1))/2</f>
        <v/>
      </c>
      <c r="AI21" s="12">
        <f>ROUND((AG21*AH21*G21)^(1/3),3)</f>
        <v/>
      </c>
      <c r="AJ21" s="12" t="n">
        <v>0.659</v>
      </c>
      <c r="AK21" s="13">
        <f>AI21-AJ21</f>
        <v/>
      </c>
      <c r="AL21" s="13">
        <f>AK21-AVERAGE($AK$2:$AK$173)</f>
        <v/>
      </c>
      <c r="AM21" s="6">
        <f>IF(ABS(AL21)&gt;Config!$B$11,"REVIEW","")</f>
        <v/>
      </c>
      <c r="AN21" s="14">
        <f>RANK(AI21,$AI$2:$AI$173)</f>
        <v/>
      </c>
      <c r="AO21" s="14">
        <f>RANK(AJ21,$AJ$2:$AJ$173)</f>
        <v/>
      </c>
      <c r="AP21" s="14" t="n">
        <v>21</v>
      </c>
    </row>
    <row r="22">
      <c r="A22" s="6" t="inlineStr">
        <is>
          <t>Curata</t>
        </is>
      </c>
      <c r="B22" s="6" t="inlineStr">
        <is>
          <t>Atirha</t>
        </is>
      </c>
      <c r="C22" s="6" t="inlineStr">
        <is>
          <t>—</t>
        </is>
      </c>
      <c r="D22" s="7" t="n">
        <v>89841</v>
      </c>
      <c r="E22" s="8">
        <f>D22*Config!$B$4</f>
        <v/>
      </c>
      <c r="F22" s="6">
        <f>LN(MAX(60,E22))</f>
        <v/>
      </c>
      <c r="G22" s="9">
        <f>MEDIAN(0,(F22-LN(Config!$B$5))/(LN(Config!$B$6)-LN(Config!$B$5)),1)</f>
        <v/>
      </c>
      <c r="H22" s="6">
        <f>MOD((Config!$B$2+$AP22*7919)*9301+49297,233280)/233280</f>
        <v/>
      </c>
      <c r="I22" s="6">
        <f>MOD((Config!$B$2+$AP22*104729)*4096+150889,714025)/714025</f>
        <v/>
      </c>
      <c r="J22" s="6">
        <f>MOD((Config!$B$2*31+$AP22*15485863)*1366+150889,714025)/714025</f>
        <v/>
      </c>
      <c r="K22" s="6" t="n">
        <v>0.07817399999999999</v>
      </c>
      <c r="L22" s="6" t="n">
        <v>-0.063904</v>
      </c>
      <c r="M22" s="6">
        <f>COUNTIF(Siblings!$A$2:$A$84,B22)</f>
        <v/>
      </c>
      <c r="N22" s="6">
        <f>1+INT(J22*M22)</f>
        <v/>
      </c>
      <c r="O22" s="6">
        <f>IF(K22&lt;&gt;"",K22,IFERROR(INDEX(Siblings!$D$2:$D$84,MATCH(B22&amp;"|"&amp;N22,Siblings!$F$2:$F$84,0)),0))</f>
        <v/>
      </c>
      <c r="P22" s="6">
        <f>IF(L22&lt;&gt;"",L22,IFERROR(INDEX(Siblings!$E$2:$E$84,MATCH(B22&amp;"|"&amp;N22,Siblings!$F$2:$F$84,0)),0))</f>
        <v/>
      </c>
      <c r="Q22" s="6">
        <f>(INDEX('Earth curves'!$B$2:$B$46,MAX(1,MIN(44,IFERROR(MATCH(F22,'Earth curves'!$A$2:$A$46,1),1))))+(F22-INDEX('Earth curves'!$A$2:$A$46,MAX(1,MIN(44,IFERROR(MATCH(F22,'Earth curves'!$A$2:$A$46,1),1)))))*(INDEX('Earth curves'!$B$2:$B$46,MAX(1,MIN(44,IFERROR(MATCH(F22,'Earth curves'!$A$2:$A$46,1),1)))+1)-INDEX('Earth curves'!$B$2:$B$46,MAX(1,MIN(44,IFERROR(MATCH(F22,'Earth curves'!$A$2:$A$46,1),1)))))/(INDEX('Earth curves'!$A$2:$A$46,MAX(1,MIN(44,IFERROR(MATCH(F22,'Earth curves'!$A$2:$A$46,1),1)))+1)-INDEX('Earth curves'!$A$2:$A$46,MAX(1,MIN(44,IFERROR(MATCH(F22,'Earth curves'!$A$2:$A$46,1),1))))))</f>
        <v/>
      </c>
      <c r="R22" s="6">
        <f>(INDEX('Earth curves'!$C$2:$C$46,MAX(1,MIN(44,IFERROR(MATCH(F22,'Earth curves'!$A$2:$A$46,1),1))))+(F22-INDEX('Earth curves'!$A$2:$A$46,MAX(1,MIN(44,IFERROR(MATCH(F22,'Earth curves'!$A$2:$A$46,1),1)))))*(INDEX('Earth curves'!$C$2:$C$46,MAX(1,MIN(44,IFERROR(MATCH(F22,'Earth curves'!$A$2:$A$46,1),1)))+1)-INDEX('Earth curves'!$C$2:$C$46,MAX(1,MIN(44,IFERROR(MATCH(F22,'Earth curves'!$A$2:$A$46,1),1)))))/(INDEX('Earth curves'!$A$2:$A$46,MAX(1,MIN(44,IFERROR(MATCH(F22,'Earth curves'!$A$2:$A$46,1),1)))+1)-INDEX('Earth curves'!$A$2:$A$46,MAX(1,MIN(44,IFERROR(MATCH(F22,'Earth curves'!$A$2:$A$46,1),1))))))</f>
        <v/>
      </c>
      <c r="S22" s="6">
        <f>MEDIAN(0.307692,Q22+MEDIAN(-0.350583,O22+NORMSINV(H22)*0.064828*Config!$B$3,0.120277),0.993846)</f>
        <v/>
      </c>
      <c r="T22" s="10">
        <f>ROUND(Config!$B$7+(Config!$B$8-Config!$B$7)*S22,1)</f>
        <v/>
      </c>
      <c r="U22" s="11" t="n"/>
      <c r="V22" s="10">
        <f>IF(U22="",T22,U22)</f>
        <v/>
      </c>
      <c r="W22" s="6">
        <f>MEDIAN(0.05,R22+MEDIAN(-0.302219,P22+NORMSINV(I22)*0.089531*Config!$B$3,0.274961),0.999)</f>
        <v/>
      </c>
      <c r="X22" s="6">
        <f>(INDEX('Earth curves'!$F$2:$F$46,MAX(1,MIN(44,IFERROR(MATCH(W22,'Earth curves'!$E$2:$E$46,1),1))))+(W22-INDEX('Earth curves'!$E$2:$E$46,MAX(1,MIN(44,IFERROR(MATCH(W22,'Earth curves'!$E$2:$E$46,1),1)))))*(INDEX('Earth curves'!$F$2:$F$46,MAX(1,MIN(44,IFERROR(MATCH(W22,'Earth curves'!$E$2:$E$46,1),1)))+1)-INDEX('Earth curves'!$F$2:$F$46,MAX(1,MIN(44,IFERROR(MATCH(W22,'Earth curves'!$E$2:$E$46,1),1)))))/(INDEX('Earth curves'!$E$2:$E$46,MAX(1,MIN(44,IFERROR(MATCH(W22,'Earth curves'!$E$2:$E$46,1),1)))+1)-INDEX('Earth curves'!$E$2:$E$46,MAX(1,MIN(44,IFERROR(MATCH(W22,'Earth curves'!$E$2:$E$46,1),1))))))</f>
        <v/>
      </c>
      <c r="Y22" s="6">
        <f>(INDEX('Earth curves'!$G$2:$G$46,MAX(1,MIN(44,IFERROR(MATCH(W22,'Earth curves'!$E$2:$E$46,1),1))))+(W22-INDEX('Earth curves'!$E$2:$E$46,MAX(1,MIN(44,IFERROR(MATCH(W22,'Earth curves'!$E$2:$E$46,1),1)))))*(INDEX('Earth curves'!$G$2:$G$46,MAX(1,MIN(44,IFERROR(MATCH(W22,'Earth curves'!$E$2:$E$46,1),1)))+1)-INDEX('Earth curves'!$G$2:$G$46,MAX(1,MIN(44,IFERROR(MATCH(W22,'Earth curves'!$E$2:$E$46,1),1)))))/(INDEX('Earth curves'!$E$2:$E$46,MAX(1,MIN(44,IFERROR(MATCH(W22,'Earth curves'!$E$2:$E$46,1),1)))+1)-INDEX('Earth curves'!$E$2:$E$46,MAX(1,MIN(44,IFERROR(MATCH(W22,'Earth curves'!$E$2:$E$46,1),1))))))</f>
        <v/>
      </c>
      <c r="Z22" s="6">
        <f>(MIN(X22/Config!$B$9,1)+MIN(Y22/Config!$B$10,1))/2</f>
        <v/>
      </c>
      <c r="AA22" s="10">
        <f>ROUND(MIN(22,MAX(3,X22*W22/Z22)),1)</f>
        <v/>
      </c>
      <c r="AB22" s="11" t="n"/>
      <c r="AC22" s="10">
        <f>IF(AB22="",AA22,AB22)</f>
        <v/>
      </c>
      <c r="AD22" s="10">
        <f>ROUND(MIN(Config!$B$10,MAX(1,Y22*W22/Z22)),1)</f>
        <v/>
      </c>
      <c r="AE22" s="11" t="n"/>
      <c r="AF22" s="10">
        <f>IF(AE22="",AD22,AE22)</f>
        <v/>
      </c>
      <c r="AG22" s="9">
        <f>(V22-Config!$B$7)/(Config!$B$8-Config!$B$7)</f>
        <v/>
      </c>
      <c r="AH22" s="9">
        <f>(MIN(AC22/Config!$B$9,1)+MIN(AF22/Config!$B$10,1))/2</f>
        <v/>
      </c>
      <c r="AI22" s="12">
        <f>ROUND((AG22*AH22*G22)^(1/3),3)</f>
        <v/>
      </c>
      <c r="AJ22" s="12" t="n">
        <v>0.856</v>
      </c>
      <c r="AK22" s="13">
        <f>AI22-AJ22</f>
        <v/>
      </c>
      <c r="AL22" s="13">
        <f>AK22-AVERAGE($AK$2:$AK$173)</f>
        <v/>
      </c>
      <c r="AM22" s="6">
        <f>IF(ABS(AL22)&gt;Config!$B$11,"REVIEW","")</f>
        <v/>
      </c>
      <c r="AN22" s="14">
        <f>RANK(AI22,$AI$2:$AI$173)</f>
        <v/>
      </c>
      <c r="AO22" s="14">
        <f>RANK(AJ22,$AJ$2:$AJ$173)</f>
        <v/>
      </c>
      <c r="AP22" s="14" t="n">
        <v>22</v>
      </c>
    </row>
    <row r="23">
      <c r="A23" s="6" t="inlineStr">
        <is>
          <t>Dahe</t>
        </is>
      </c>
      <c r="B23" s="6" t="inlineStr">
        <is>
          <t>Massir</t>
        </is>
      </c>
      <c r="C23" s="6" t="inlineStr">
        <is>
          <t>resource, tradehub, university</t>
        </is>
      </c>
      <c r="D23" s="7" t="n">
        <v>86040</v>
      </c>
      <c r="E23" s="8">
        <f>D23*Config!$B$4</f>
        <v/>
      </c>
      <c r="F23" s="6">
        <f>LN(MAX(60,E23))</f>
        <v/>
      </c>
      <c r="G23" s="9">
        <f>MEDIAN(0,(F23-LN(Config!$B$5))/(LN(Config!$B$6)-LN(Config!$B$5)),1)</f>
        <v/>
      </c>
      <c r="H23" s="6">
        <f>MOD((Config!$B$2+$AP23*7919)*9301+49297,233280)/233280</f>
        <v/>
      </c>
      <c r="I23" s="6">
        <f>MOD((Config!$B$2+$AP23*104729)*4096+150889,714025)/714025</f>
        <v/>
      </c>
      <c r="J23" s="6">
        <f>MOD((Config!$B$2*31+$AP23*15485863)*1366+150889,714025)/714025</f>
        <v/>
      </c>
      <c r="K23" s="6" t="n"/>
      <c r="L23" s="6" t="n"/>
      <c r="M23" s="6">
        <f>COUNTIF(Siblings!$A$2:$A$84,B23)</f>
        <v/>
      </c>
      <c r="N23" s="6">
        <f>1+INT(J23*M23)</f>
        <v/>
      </c>
      <c r="O23" s="6">
        <f>IF(K23&lt;&gt;"",K23,IFERROR(INDEX(Siblings!$D$2:$D$84,MATCH(B23&amp;"|"&amp;N23,Siblings!$F$2:$F$84,0)),0))</f>
        <v/>
      </c>
      <c r="P23" s="6">
        <f>IF(L23&lt;&gt;"",L23,IFERROR(INDEX(Siblings!$E$2:$E$84,MATCH(B23&amp;"|"&amp;N23,Siblings!$F$2:$F$84,0)),0))</f>
        <v/>
      </c>
      <c r="Q23" s="6">
        <f>(INDEX('Earth curves'!$B$2:$B$46,MAX(1,MIN(44,IFERROR(MATCH(F23,'Earth curves'!$A$2:$A$46,1),1))))+(F23-INDEX('Earth curves'!$A$2:$A$46,MAX(1,MIN(44,IFERROR(MATCH(F23,'Earth curves'!$A$2:$A$46,1),1)))))*(INDEX('Earth curves'!$B$2:$B$46,MAX(1,MIN(44,IFERROR(MATCH(F23,'Earth curves'!$A$2:$A$46,1),1)))+1)-INDEX('Earth curves'!$B$2:$B$46,MAX(1,MIN(44,IFERROR(MATCH(F23,'Earth curves'!$A$2:$A$46,1),1)))))/(INDEX('Earth curves'!$A$2:$A$46,MAX(1,MIN(44,IFERROR(MATCH(F23,'Earth curves'!$A$2:$A$46,1),1)))+1)-INDEX('Earth curves'!$A$2:$A$46,MAX(1,MIN(44,IFERROR(MATCH(F23,'Earth curves'!$A$2:$A$46,1),1))))))</f>
        <v/>
      </c>
      <c r="R23" s="6">
        <f>(INDEX('Earth curves'!$C$2:$C$46,MAX(1,MIN(44,IFERROR(MATCH(F23,'Earth curves'!$A$2:$A$46,1),1))))+(F23-INDEX('Earth curves'!$A$2:$A$46,MAX(1,MIN(44,IFERROR(MATCH(F23,'Earth curves'!$A$2:$A$46,1),1)))))*(INDEX('Earth curves'!$C$2:$C$46,MAX(1,MIN(44,IFERROR(MATCH(F23,'Earth curves'!$A$2:$A$46,1),1)))+1)-INDEX('Earth curves'!$C$2:$C$46,MAX(1,MIN(44,IFERROR(MATCH(F23,'Earth curves'!$A$2:$A$46,1),1)))))/(INDEX('Earth curves'!$A$2:$A$46,MAX(1,MIN(44,IFERROR(MATCH(F23,'Earth curves'!$A$2:$A$46,1),1)))+1)-INDEX('Earth curves'!$A$2:$A$46,MAX(1,MIN(44,IFERROR(MATCH(F23,'Earth curves'!$A$2:$A$46,1),1))))))</f>
        <v/>
      </c>
      <c r="S23" s="6">
        <f>MEDIAN(0.307692,Q23+MEDIAN(-0.350583,O23+NORMSINV(H23)*0.064828*Config!$B$3,0.120277),0.993846)</f>
        <v/>
      </c>
      <c r="T23" s="10">
        <f>ROUND(Config!$B$7+(Config!$B$8-Config!$B$7)*S23,1)</f>
        <v/>
      </c>
      <c r="U23" s="11" t="n"/>
      <c r="V23" s="10">
        <f>IF(U23="",T23,U23)</f>
        <v/>
      </c>
      <c r="W23" s="6">
        <f>MEDIAN(0.05,R23+MEDIAN(-0.302219,P23+NORMSINV(I23)*0.089531*Config!$B$3,0.274961),0.999)</f>
        <v/>
      </c>
      <c r="X23" s="6">
        <f>(INDEX('Earth curves'!$F$2:$F$46,MAX(1,MIN(44,IFERROR(MATCH(W23,'Earth curves'!$E$2:$E$46,1),1))))+(W23-INDEX('Earth curves'!$E$2:$E$46,MAX(1,MIN(44,IFERROR(MATCH(W23,'Earth curves'!$E$2:$E$46,1),1)))))*(INDEX('Earth curves'!$F$2:$F$46,MAX(1,MIN(44,IFERROR(MATCH(W23,'Earth curves'!$E$2:$E$46,1),1)))+1)-INDEX('Earth curves'!$F$2:$F$46,MAX(1,MIN(44,IFERROR(MATCH(W23,'Earth curves'!$E$2:$E$46,1),1)))))/(INDEX('Earth curves'!$E$2:$E$46,MAX(1,MIN(44,IFERROR(MATCH(W23,'Earth curves'!$E$2:$E$46,1),1)))+1)-INDEX('Earth curves'!$E$2:$E$46,MAX(1,MIN(44,IFERROR(MATCH(W23,'Earth curves'!$E$2:$E$46,1),1))))))</f>
        <v/>
      </c>
      <c r="Y23" s="6">
        <f>(INDEX('Earth curves'!$G$2:$G$46,MAX(1,MIN(44,IFERROR(MATCH(W23,'Earth curves'!$E$2:$E$46,1),1))))+(W23-INDEX('Earth curves'!$E$2:$E$46,MAX(1,MIN(44,IFERROR(MATCH(W23,'Earth curves'!$E$2:$E$46,1),1)))))*(INDEX('Earth curves'!$G$2:$G$46,MAX(1,MIN(44,IFERROR(MATCH(W23,'Earth curves'!$E$2:$E$46,1),1)))+1)-INDEX('Earth curves'!$G$2:$G$46,MAX(1,MIN(44,IFERROR(MATCH(W23,'Earth curves'!$E$2:$E$46,1),1)))))/(INDEX('Earth curves'!$E$2:$E$46,MAX(1,MIN(44,IFERROR(MATCH(W23,'Earth curves'!$E$2:$E$46,1),1)))+1)-INDEX('Earth curves'!$E$2:$E$46,MAX(1,MIN(44,IFERROR(MATCH(W23,'Earth curves'!$E$2:$E$46,1),1))))))</f>
        <v/>
      </c>
      <c r="Z23" s="6">
        <f>(MIN(X23/Config!$B$9,1)+MIN(Y23/Config!$B$10,1))/2</f>
        <v/>
      </c>
      <c r="AA23" s="10">
        <f>ROUND(MIN(22,MAX(3,X23*W23/Z23)),1)</f>
        <v/>
      </c>
      <c r="AB23" s="11" t="n"/>
      <c r="AC23" s="10">
        <f>IF(AB23="",AA23,AB23)</f>
        <v/>
      </c>
      <c r="AD23" s="10">
        <f>ROUND(MIN(Config!$B$10,MAX(1,Y23*W23/Z23)),1)</f>
        <v/>
      </c>
      <c r="AE23" s="11" t="n"/>
      <c r="AF23" s="10">
        <f>IF(AE23="",AD23,AE23)</f>
        <v/>
      </c>
      <c r="AG23" s="9">
        <f>(V23-Config!$B$7)/(Config!$B$8-Config!$B$7)</f>
        <v/>
      </c>
      <c r="AH23" s="9">
        <f>(MIN(AC23/Config!$B$9,1)+MIN(AF23/Config!$B$10,1))/2</f>
        <v/>
      </c>
      <c r="AI23" s="12">
        <f>ROUND((AG23*AH23*G23)^(1/3),3)</f>
        <v/>
      </c>
      <c r="AJ23" s="12" t="n">
        <v>0.895</v>
      </c>
      <c r="AK23" s="13">
        <f>AI23-AJ23</f>
        <v/>
      </c>
      <c r="AL23" s="13">
        <f>AK23-AVERAGE($AK$2:$AK$173)</f>
        <v/>
      </c>
      <c r="AM23" s="6">
        <f>IF(ABS(AL23)&gt;Config!$B$11,"REVIEW","")</f>
        <v/>
      </c>
      <c r="AN23" s="14">
        <f>RANK(AI23,$AI$2:$AI$173)</f>
        <v/>
      </c>
      <c r="AO23" s="14">
        <f>RANK(AJ23,$AJ$2:$AJ$173)</f>
        <v/>
      </c>
      <c r="AP23" s="14" t="n">
        <v>23</v>
      </c>
    </row>
    <row r="24">
      <c r="A24" s="6" t="inlineStr">
        <is>
          <t>Danocia</t>
        </is>
      </c>
      <c r="B24" s="6" t="inlineStr">
        <is>
          <t>Ayuma</t>
        </is>
      </c>
      <c r="C24" s="6" t="inlineStr">
        <is>
          <t>militarised</t>
        </is>
      </c>
      <c r="D24" s="7" t="n">
        <v>21587</v>
      </c>
      <c r="E24" s="8">
        <f>D24*Config!$B$4</f>
        <v/>
      </c>
      <c r="F24" s="6">
        <f>LN(MAX(60,E24))</f>
        <v/>
      </c>
      <c r="G24" s="9">
        <f>MEDIAN(0,(F24-LN(Config!$B$5))/(LN(Config!$B$6)-LN(Config!$B$5)),1)</f>
        <v/>
      </c>
      <c r="H24" s="6">
        <f>MOD((Config!$B$2+$AP24*7919)*9301+49297,233280)/233280</f>
        <v/>
      </c>
      <c r="I24" s="6">
        <f>MOD((Config!$B$2+$AP24*104729)*4096+150889,714025)/714025</f>
        <v/>
      </c>
      <c r="J24" s="6">
        <f>MOD((Config!$B$2*31+$AP24*15485863)*1366+150889,714025)/714025</f>
        <v/>
      </c>
      <c r="K24" s="6" t="n"/>
      <c r="L24" s="6" t="n"/>
      <c r="M24" s="6">
        <f>COUNTIF(Siblings!$A$2:$A$84,B24)</f>
        <v/>
      </c>
      <c r="N24" s="6">
        <f>1+INT(J24*M24)</f>
        <v/>
      </c>
      <c r="O24" s="6">
        <f>IF(K24&lt;&gt;"",K24,IFERROR(INDEX(Siblings!$D$2:$D$84,MATCH(B24&amp;"|"&amp;N24,Siblings!$F$2:$F$84,0)),0))</f>
        <v/>
      </c>
      <c r="P24" s="6">
        <f>IF(L24&lt;&gt;"",L24,IFERROR(INDEX(Siblings!$E$2:$E$84,MATCH(B24&amp;"|"&amp;N24,Siblings!$F$2:$F$84,0)),0))</f>
        <v/>
      </c>
      <c r="Q24" s="6">
        <f>(INDEX('Earth curves'!$B$2:$B$46,MAX(1,MIN(44,IFERROR(MATCH(F24,'Earth curves'!$A$2:$A$46,1),1))))+(F24-INDEX('Earth curves'!$A$2:$A$46,MAX(1,MIN(44,IFERROR(MATCH(F24,'Earth curves'!$A$2:$A$46,1),1)))))*(INDEX('Earth curves'!$B$2:$B$46,MAX(1,MIN(44,IFERROR(MATCH(F24,'Earth curves'!$A$2:$A$46,1),1)))+1)-INDEX('Earth curves'!$B$2:$B$46,MAX(1,MIN(44,IFERROR(MATCH(F24,'Earth curves'!$A$2:$A$46,1),1)))))/(INDEX('Earth curves'!$A$2:$A$46,MAX(1,MIN(44,IFERROR(MATCH(F24,'Earth curves'!$A$2:$A$46,1),1)))+1)-INDEX('Earth curves'!$A$2:$A$46,MAX(1,MIN(44,IFERROR(MATCH(F24,'Earth curves'!$A$2:$A$46,1),1))))))</f>
        <v/>
      </c>
      <c r="R24" s="6">
        <f>(INDEX('Earth curves'!$C$2:$C$46,MAX(1,MIN(44,IFERROR(MATCH(F24,'Earth curves'!$A$2:$A$46,1),1))))+(F24-INDEX('Earth curves'!$A$2:$A$46,MAX(1,MIN(44,IFERROR(MATCH(F24,'Earth curves'!$A$2:$A$46,1),1)))))*(INDEX('Earth curves'!$C$2:$C$46,MAX(1,MIN(44,IFERROR(MATCH(F24,'Earth curves'!$A$2:$A$46,1),1)))+1)-INDEX('Earth curves'!$C$2:$C$46,MAX(1,MIN(44,IFERROR(MATCH(F24,'Earth curves'!$A$2:$A$46,1),1)))))/(INDEX('Earth curves'!$A$2:$A$46,MAX(1,MIN(44,IFERROR(MATCH(F24,'Earth curves'!$A$2:$A$46,1),1)))+1)-INDEX('Earth curves'!$A$2:$A$46,MAX(1,MIN(44,IFERROR(MATCH(F24,'Earth curves'!$A$2:$A$46,1),1))))))</f>
        <v/>
      </c>
      <c r="S24" s="6">
        <f>MEDIAN(0.307692,Q24+MEDIAN(-0.350583,O24+NORMSINV(H24)*0.064828*Config!$B$3,0.120277),0.993846)</f>
        <v/>
      </c>
      <c r="T24" s="10">
        <f>ROUND(Config!$B$7+(Config!$B$8-Config!$B$7)*S24,1)</f>
        <v/>
      </c>
      <c r="U24" s="11" t="n"/>
      <c r="V24" s="10">
        <f>IF(U24="",T24,U24)</f>
        <v/>
      </c>
      <c r="W24" s="6">
        <f>MEDIAN(0.05,R24+MEDIAN(-0.302219,P24+NORMSINV(I24)*0.089531*Config!$B$3,0.274961),0.999)</f>
        <v/>
      </c>
      <c r="X24" s="6">
        <f>(INDEX('Earth curves'!$F$2:$F$46,MAX(1,MIN(44,IFERROR(MATCH(W24,'Earth curves'!$E$2:$E$46,1),1))))+(W24-INDEX('Earth curves'!$E$2:$E$46,MAX(1,MIN(44,IFERROR(MATCH(W24,'Earth curves'!$E$2:$E$46,1),1)))))*(INDEX('Earth curves'!$F$2:$F$46,MAX(1,MIN(44,IFERROR(MATCH(W24,'Earth curves'!$E$2:$E$46,1),1)))+1)-INDEX('Earth curves'!$F$2:$F$46,MAX(1,MIN(44,IFERROR(MATCH(W24,'Earth curves'!$E$2:$E$46,1),1)))))/(INDEX('Earth curves'!$E$2:$E$46,MAX(1,MIN(44,IFERROR(MATCH(W24,'Earth curves'!$E$2:$E$46,1),1)))+1)-INDEX('Earth curves'!$E$2:$E$46,MAX(1,MIN(44,IFERROR(MATCH(W24,'Earth curves'!$E$2:$E$46,1),1))))))</f>
        <v/>
      </c>
      <c r="Y24" s="6">
        <f>(INDEX('Earth curves'!$G$2:$G$46,MAX(1,MIN(44,IFERROR(MATCH(W24,'Earth curves'!$E$2:$E$46,1),1))))+(W24-INDEX('Earth curves'!$E$2:$E$46,MAX(1,MIN(44,IFERROR(MATCH(W24,'Earth curves'!$E$2:$E$46,1),1)))))*(INDEX('Earth curves'!$G$2:$G$46,MAX(1,MIN(44,IFERROR(MATCH(W24,'Earth curves'!$E$2:$E$46,1),1)))+1)-INDEX('Earth curves'!$G$2:$G$46,MAX(1,MIN(44,IFERROR(MATCH(W24,'Earth curves'!$E$2:$E$46,1),1)))))/(INDEX('Earth curves'!$E$2:$E$46,MAX(1,MIN(44,IFERROR(MATCH(W24,'Earth curves'!$E$2:$E$46,1),1)))+1)-INDEX('Earth curves'!$E$2:$E$46,MAX(1,MIN(44,IFERROR(MATCH(W24,'Earth curves'!$E$2:$E$46,1),1))))))</f>
        <v/>
      </c>
      <c r="Z24" s="6">
        <f>(MIN(X24/Config!$B$9,1)+MIN(Y24/Config!$B$10,1))/2</f>
        <v/>
      </c>
      <c r="AA24" s="10">
        <f>ROUND(MIN(22,MAX(3,X24*W24/Z24)),1)</f>
        <v/>
      </c>
      <c r="AB24" s="11" t="n"/>
      <c r="AC24" s="10">
        <f>IF(AB24="",AA24,AB24)</f>
        <v/>
      </c>
      <c r="AD24" s="10">
        <f>ROUND(MIN(Config!$B$10,MAX(1,Y24*W24/Z24)),1)</f>
        <v/>
      </c>
      <c r="AE24" s="11" t="n"/>
      <c r="AF24" s="10">
        <f>IF(AE24="",AD24,AE24)</f>
        <v/>
      </c>
      <c r="AG24" s="9">
        <f>(V24-Config!$B$7)/(Config!$B$8-Config!$B$7)</f>
        <v/>
      </c>
      <c r="AH24" s="9">
        <f>(MIN(AC24/Config!$B$9,1)+MIN(AF24/Config!$B$10,1))/2</f>
        <v/>
      </c>
      <c r="AI24" s="12">
        <f>ROUND((AG24*AH24*G24)^(1/3),3)</f>
        <v/>
      </c>
      <c r="AJ24" s="12" t="n">
        <v>0.741</v>
      </c>
      <c r="AK24" s="13">
        <f>AI24-AJ24</f>
        <v/>
      </c>
      <c r="AL24" s="13">
        <f>AK24-AVERAGE($AK$2:$AK$173)</f>
        <v/>
      </c>
      <c r="AM24" s="6">
        <f>IF(ABS(AL24)&gt;Config!$B$11,"REVIEW","")</f>
        <v/>
      </c>
      <c r="AN24" s="14">
        <f>RANK(AI24,$AI$2:$AI$173)</f>
        <v/>
      </c>
      <c r="AO24" s="14">
        <f>RANK(AJ24,$AJ$2:$AJ$173)</f>
        <v/>
      </c>
      <c r="AP24" s="14" t="n">
        <v>24</v>
      </c>
    </row>
    <row r="25">
      <c r="A25" s="6" t="inlineStr">
        <is>
          <t>Darewa</t>
        </is>
      </c>
      <c r="B25" s="6" t="inlineStr">
        <is>
          <t>Ayuma</t>
        </is>
      </c>
      <c r="C25" s="6" t="inlineStr">
        <is>
          <t>resource</t>
        </is>
      </c>
      <c r="D25" s="7" t="n">
        <v>89841</v>
      </c>
      <c r="E25" s="8">
        <f>D25*Config!$B$4</f>
        <v/>
      </c>
      <c r="F25" s="6">
        <f>LN(MAX(60,E25))</f>
        <v/>
      </c>
      <c r="G25" s="9">
        <f>MEDIAN(0,(F25-LN(Config!$B$5))/(LN(Config!$B$6)-LN(Config!$B$5)),1)</f>
        <v/>
      </c>
      <c r="H25" s="6">
        <f>MOD((Config!$B$2+$AP25*7919)*9301+49297,233280)/233280</f>
        <v/>
      </c>
      <c r="I25" s="6">
        <f>MOD((Config!$B$2+$AP25*104729)*4096+150889,714025)/714025</f>
        <v/>
      </c>
      <c r="J25" s="6">
        <f>MOD((Config!$B$2*31+$AP25*15485863)*1366+150889,714025)/714025</f>
        <v/>
      </c>
      <c r="K25" s="6" t="n">
        <v>0.013333</v>
      </c>
      <c r="L25" s="6" t="n">
        <v>0.09328599999999999</v>
      </c>
      <c r="M25" s="6">
        <f>COUNTIF(Siblings!$A$2:$A$84,B25)</f>
        <v/>
      </c>
      <c r="N25" s="6">
        <f>1+INT(J25*M25)</f>
        <v/>
      </c>
      <c r="O25" s="6">
        <f>IF(K25&lt;&gt;"",K25,IFERROR(INDEX(Siblings!$D$2:$D$84,MATCH(B25&amp;"|"&amp;N25,Siblings!$F$2:$F$84,0)),0))</f>
        <v/>
      </c>
      <c r="P25" s="6">
        <f>IF(L25&lt;&gt;"",L25,IFERROR(INDEX(Siblings!$E$2:$E$84,MATCH(B25&amp;"|"&amp;N25,Siblings!$F$2:$F$84,0)),0))</f>
        <v/>
      </c>
      <c r="Q25" s="6">
        <f>(INDEX('Earth curves'!$B$2:$B$46,MAX(1,MIN(44,IFERROR(MATCH(F25,'Earth curves'!$A$2:$A$46,1),1))))+(F25-INDEX('Earth curves'!$A$2:$A$46,MAX(1,MIN(44,IFERROR(MATCH(F25,'Earth curves'!$A$2:$A$46,1),1)))))*(INDEX('Earth curves'!$B$2:$B$46,MAX(1,MIN(44,IFERROR(MATCH(F25,'Earth curves'!$A$2:$A$46,1),1)))+1)-INDEX('Earth curves'!$B$2:$B$46,MAX(1,MIN(44,IFERROR(MATCH(F25,'Earth curves'!$A$2:$A$46,1),1)))))/(INDEX('Earth curves'!$A$2:$A$46,MAX(1,MIN(44,IFERROR(MATCH(F25,'Earth curves'!$A$2:$A$46,1),1)))+1)-INDEX('Earth curves'!$A$2:$A$46,MAX(1,MIN(44,IFERROR(MATCH(F25,'Earth curves'!$A$2:$A$46,1),1))))))</f>
        <v/>
      </c>
      <c r="R25" s="6">
        <f>(INDEX('Earth curves'!$C$2:$C$46,MAX(1,MIN(44,IFERROR(MATCH(F25,'Earth curves'!$A$2:$A$46,1),1))))+(F25-INDEX('Earth curves'!$A$2:$A$46,MAX(1,MIN(44,IFERROR(MATCH(F25,'Earth curves'!$A$2:$A$46,1),1)))))*(INDEX('Earth curves'!$C$2:$C$46,MAX(1,MIN(44,IFERROR(MATCH(F25,'Earth curves'!$A$2:$A$46,1),1)))+1)-INDEX('Earth curves'!$C$2:$C$46,MAX(1,MIN(44,IFERROR(MATCH(F25,'Earth curves'!$A$2:$A$46,1),1)))))/(INDEX('Earth curves'!$A$2:$A$46,MAX(1,MIN(44,IFERROR(MATCH(F25,'Earth curves'!$A$2:$A$46,1),1)))+1)-INDEX('Earth curves'!$A$2:$A$46,MAX(1,MIN(44,IFERROR(MATCH(F25,'Earth curves'!$A$2:$A$46,1),1))))))</f>
        <v/>
      </c>
      <c r="S25" s="6">
        <f>MEDIAN(0.307692,Q25+MEDIAN(-0.350583,O25+NORMSINV(H25)*0.064828*Config!$B$3,0.120277),0.993846)</f>
        <v/>
      </c>
      <c r="T25" s="10">
        <f>ROUND(Config!$B$7+(Config!$B$8-Config!$B$7)*S25,1)</f>
        <v/>
      </c>
      <c r="U25" s="11" t="n"/>
      <c r="V25" s="10">
        <f>IF(U25="",T25,U25)</f>
        <v/>
      </c>
      <c r="W25" s="6">
        <f>MEDIAN(0.05,R25+MEDIAN(-0.302219,P25+NORMSINV(I25)*0.089531*Config!$B$3,0.274961),0.999)</f>
        <v/>
      </c>
      <c r="X25" s="6">
        <f>(INDEX('Earth curves'!$F$2:$F$46,MAX(1,MIN(44,IFERROR(MATCH(W25,'Earth curves'!$E$2:$E$46,1),1))))+(W25-INDEX('Earth curves'!$E$2:$E$46,MAX(1,MIN(44,IFERROR(MATCH(W25,'Earth curves'!$E$2:$E$46,1),1)))))*(INDEX('Earth curves'!$F$2:$F$46,MAX(1,MIN(44,IFERROR(MATCH(W25,'Earth curves'!$E$2:$E$46,1),1)))+1)-INDEX('Earth curves'!$F$2:$F$46,MAX(1,MIN(44,IFERROR(MATCH(W25,'Earth curves'!$E$2:$E$46,1),1)))))/(INDEX('Earth curves'!$E$2:$E$46,MAX(1,MIN(44,IFERROR(MATCH(W25,'Earth curves'!$E$2:$E$46,1),1)))+1)-INDEX('Earth curves'!$E$2:$E$46,MAX(1,MIN(44,IFERROR(MATCH(W25,'Earth curves'!$E$2:$E$46,1),1))))))</f>
        <v/>
      </c>
      <c r="Y25" s="6">
        <f>(INDEX('Earth curves'!$G$2:$G$46,MAX(1,MIN(44,IFERROR(MATCH(W25,'Earth curves'!$E$2:$E$46,1),1))))+(W25-INDEX('Earth curves'!$E$2:$E$46,MAX(1,MIN(44,IFERROR(MATCH(W25,'Earth curves'!$E$2:$E$46,1),1)))))*(INDEX('Earth curves'!$G$2:$G$46,MAX(1,MIN(44,IFERROR(MATCH(W25,'Earth curves'!$E$2:$E$46,1),1)))+1)-INDEX('Earth curves'!$G$2:$G$46,MAX(1,MIN(44,IFERROR(MATCH(W25,'Earth curves'!$E$2:$E$46,1),1)))))/(INDEX('Earth curves'!$E$2:$E$46,MAX(1,MIN(44,IFERROR(MATCH(W25,'Earth curves'!$E$2:$E$46,1),1)))+1)-INDEX('Earth curves'!$E$2:$E$46,MAX(1,MIN(44,IFERROR(MATCH(W25,'Earth curves'!$E$2:$E$46,1),1))))))</f>
        <v/>
      </c>
      <c r="Z25" s="6">
        <f>(MIN(X25/Config!$B$9,1)+MIN(Y25/Config!$B$10,1))/2</f>
        <v/>
      </c>
      <c r="AA25" s="10">
        <f>ROUND(MIN(22,MAX(3,X25*W25/Z25)),1)</f>
        <v/>
      </c>
      <c r="AB25" s="11" t="n"/>
      <c r="AC25" s="10">
        <f>IF(AB25="",AA25,AB25)</f>
        <v/>
      </c>
      <c r="AD25" s="10">
        <f>ROUND(MIN(Config!$B$10,MAX(1,Y25*W25/Z25)),1)</f>
        <v/>
      </c>
      <c r="AE25" s="11" t="n"/>
      <c r="AF25" s="10">
        <f>IF(AE25="",AD25,AE25)</f>
        <v/>
      </c>
      <c r="AG25" s="9">
        <f>(V25-Config!$B$7)/(Config!$B$8-Config!$B$7)</f>
        <v/>
      </c>
      <c r="AH25" s="9">
        <f>(MIN(AC25/Config!$B$9,1)+MIN(AF25/Config!$B$10,1))/2</f>
        <v/>
      </c>
      <c r="AI25" s="12">
        <f>ROUND((AG25*AH25*G25)^(1/3),3)</f>
        <v/>
      </c>
      <c r="AJ25" s="12" t="n">
        <v>0.836</v>
      </c>
      <c r="AK25" s="13">
        <f>AI25-AJ25</f>
        <v/>
      </c>
      <c r="AL25" s="13">
        <f>AK25-AVERAGE($AK$2:$AK$173)</f>
        <v/>
      </c>
      <c r="AM25" s="6">
        <f>IF(ABS(AL25)&gt;Config!$B$11,"REVIEW","")</f>
        <v/>
      </c>
      <c r="AN25" s="14">
        <f>RANK(AI25,$AI$2:$AI$173)</f>
        <v/>
      </c>
      <c r="AO25" s="14">
        <f>RANK(AJ25,$AJ$2:$AJ$173)</f>
        <v/>
      </c>
      <c r="AP25" s="14" t="n">
        <v>25</v>
      </c>
    </row>
    <row r="26">
      <c r="A26" s="6" t="inlineStr">
        <is>
          <t>Desaki</t>
        </is>
      </c>
      <c r="B26" s="6" t="inlineStr">
        <is>
          <t>Quia</t>
        </is>
      </c>
      <c r="C26" s="6" t="inlineStr">
        <is>
          <t>petro, resource</t>
        </is>
      </c>
      <c r="D26" s="7" t="n">
        <v>112381</v>
      </c>
      <c r="E26" s="8">
        <f>D26*Config!$B$4</f>
        <v/>
      </c>
      <c r="F26" s="6">
        <f>LN(MAX(60,E26))</f>
        <v/>
      </c>
      <c r="G26" s="9">
        <f>MEDIAN(0,(F26-LN(Config!$B$5))/(LN(Config!$B$6)-LN(Config!$B$5)),1)</f>
        <v/>
      </c>
      <c r="H26" s="6">
        <f>MOD((Config!$B$2+$AP26*7919)*9301+49297,233280)/233280</f>
        <v/>
      </c>
      <c r="I26" s="6">
        <f>MOD((Config!$B$2+$AP26*104729)*4096+150889,714025)/714025</f>
        <v/>
      </c>
      <c r="J26" s="6">
        <f>MOD((Config!$B$2*31+$AP26*15485863)*1366+150889,714025)/714025</f>
        <v/>
      </c>
      <c r="K26" s="6" t="n">
        <v>0.016028</v>
      </c>
      <c r="L26" s="6" t="n">
        <v>0.077302</v>
      </c>
      <c r="M26" s="6">
        <f>COUNTIF(Siblings!$A$2:$A$84,B26)</f>
        <v/>
      </c>
      <c r="N26" s="6">
        <f>1+INT(J26*M26)</f>
        <v/>
      </c>
      <c r="O26" s="6">
        <f>IF(K26&lt;&gt;"",K26,IFERROR(INDEX(Siblings!$D$2:$D$84,MATCH(B26&amp;"|"&amp;N26,Siblings!$F$2:$F$84,0)),0))</f>
        <v/>
      </c>
      <c r="P26" s="6">
        <f>IF(L26&lt;&gt;"",L26,IFERROR(INDEX(Siblings!$E$2:$E$84,MATCH(B26&amp;"|"&amp;N26,Siblings!$F$2:$F$84,0)),0))</f>
        <v/>
      </c>
      <c r="Q26" s="6">
        <f>(INDEX('Earth curves'!$B$2:$B$46,MAX(1,MIN(44,IFERROR(MATCH(F26,'Earth curves'!$A$2:$A$46,1),1))))+(F26-INDEX('Earth curves'!$A$2:$A$46,MAX(1,MIN(44,IFERROR(MATCH(F26,'Earth curves'!$A$2:$A$46,1),1)))))*(INDEX('Earth curves'!$B$2:$B$46,MAX(1,MIN(44,IFERROR(MATCH(F26,'Earth curves'!$A$2:$A$46,1),1)))+1)-INDEX('Earth curves'!$B$2:$B$46,MAX(1,MIN(44,IFERROR(MATCH(F26,'Earth curves'!$A$2:$A$46,1),1)))))/(INDEX('Earth curves'!$A$2:$A$46,MAX(1,MIN(44,IFERROR(MATCH(F26,'Earth curves'!$A$2:$A$46,1),1)))+1)-INDEX('Earth curves'!$A$2:$A$46,MAX(1,MIN(44,IFERROR(MATCH(F26,'Earth curves'!$A$2:$A$46,1),1))))))</f>
        <v/>
      </c>
      <c r="R26" s="6">
        <f>(INDEX('Earth curves'!$C$2:$C$46,MAX(1,MIN(44,IFERROR(MATCH(F26,'Earth curves'!$A$2:$A$46,1),1))))+(F26-INDEX('Earth curves'!$A$2:$A$46,MAX(1,MIN(44,IFERROR(MATCH(F26,'Earth curves'!$A$2:$A$46,1),1)))))*(INDEX('Earth curves'!$C$2:$C$46,MAX(1,MIN(44,IFERROR(MATCH(F26,'Earth curves'!$A$2:$A$46,1),1)))+1)-INDEX('Earth curves'!$C$2:$C$46,MAX(1,MIN(44,IFERROR(MATCH(F26,'Earth curves'!$A$2:$A$46,1),1)))))/(INDEX('Earth curves'!$A$2:$A$46,MAX(1,MIN(44,IFERROR(MATCH(F26,'Earth curves'!$A$2:$A$46,1),1)))+1)-INDEX('Earth curves'!$A$2:$A$46,MAX(1,MIN(44,IFERROR(MATCH(F26,'Earth curves'!$A$2:$A$46,1),1))))))</f>
        <v/>
      </c>
      <c r="S26" s="6">
        <f>MEDIAN(0.307692,Q26+MEDIAN(-0.350583,O26+NORMSINV(H26)*0.064828*Config!$B$3,0.120277),0.993846)</f>
        <v/>
      </c>
      <c r="T26" s="10">
        <f>ROUND(Config!$B$7+(Config!$B$8-Config!$B$7)*S26,1)</f>
        <v/>
      </c>
      <c r="U26" s="11" t="n"/>
      <c r="V26" s="10">
        <f>IF(U26="",T26,U26)</f>
        <v/>
      </c>
      <c r="W26" s="6">
        <f>MEDIAN(0.05,R26+MEDIAN(-0.302219,P26+NORMSINV(I26)*0.089531*Config!$B$3,0.274961),0.999)</f>
        <v/>
      </c>
      <c r="X26" s="6">
        <f>(INDEX('Earth curves'!$F$2:$F$46,MAX(1,MIN(44,IFERROR(MATCH(W26,'Earth curves'!$E$2:$E$46,1),1))))+(W26-INDEX('Earth curves'!$E$2:$E$46,MAX(1,MIN(44,IFERROR(MATCH(W26,'Earth curves'!$E$2:$E$46,1),1)))))*(INDEX('Earth curves'!$F$2:$F$46,MAX(1,MIN(44,IFERROR(MATCH(W26,'Earth curves'!$E$2:$E$46,1),1)))+1)-INDEX('Earth curves'!$F$2:$F$46,MAX(1,MIN(44,IFERROR(MATCH(W26,'Earth curves'!$E$2:$E$46,1),1)))))/(INDEX('Earth curves'!$E$2:$E$46,MAX(1,MIN(44,IFERROR(MATCH(W26,'Earth curves'!$E$2:$E$46,1),1)))+1)-INDEX('Earth curves'!$E$2:$E$46,MAX(1,MIN(44,IFERROR(MATCH(W26,'Earth curves'!$E$2:$E$46,1),1))))))</f>
        <v/>
      </c>
      <c r="Y26" s="6">
        <f>(INDEX('Earth curves'!$G$2:$G$46,MAX(1,MIN(44,IFERROR(MATCH(W26,'Earth curves'!$E$2:$E$46,1),1))))+(W26-INDEX('Earth curves'!$E$2:$E$46,MAX(1,MIN(44,IFERROR(MATCH(W26,'Earth curves'!$E$2:$E$46,1),1)))))*(INDEX('Earth curves'!$G$2:$G$46,MAX(1,MIN(44,IFERROR(MATCH(W26,'Earth curves'!$E$2:$E$46,1),1)))+1)-INDEX('Earth curves'!$G$2:$G$46,MAX(1,MIN(44,IFERROR(MATCH(W26,'Earth curves'!$E$2:$E$46,1),1)))))/(INDEX('Earth curves'!$E$2:$E$46,MAX(1,MIN(44,IFERROR(MATCH(W26,'Earth curves'!$E$2:$E$46,1),1)))+1)-INDEX('Earth curves'!$E$2:$E$46,MAX(1,MIN(44,IFERROR(MATCH(W26,'Earth curves'!$E$2:$E$46,1),1))))))</f>
        <v/>
      </c>
      <c r="Z26" s="6">
        <f>(MIN(X26/Config!$B$9,1)+MIN(Y26/Config!$B$10,1))/2</f>
        <v/>
      </c>
      <c r="AA26" s="10">
        <f>ROUND(MIN(22,MAX(3,X26*W26/Z26)),1)</f>
        <v/>
      </c>
      <c r="AB26" s="11" t="n"/>
      <c r="AC26" s="10">
        <f>IF(AB26="",AA26,AB26)</f>
        <v/>
      </c>
      <c r="AD26" s="10">
        <f>ROUND(MIN(Config!$B$10,MAX(1,Y26*W26/Z26)),1)</f>
        <v/>
      </c>
      <c r="AE26" s="11" t="n"/>
      <c r="AF26" s="10">
        <f>IF(AE26="",AD26,AE26)</f>
        <v/>
      </c>
      <c r="AG26" s="9">
        <f>(V26-Config!$B$7)/(Config!$B$8-Config!$B$7)</f>
        <v/>
      </c>
      <c r="AH26" s="9">
        <f>(MIN(AC26/Config!$B$9,1)+MIN(AF26/Config!$B$10,1))/2</f>
        <v/>
      </c>
      <c r="AI26" s="12">
        <f>ROUND((AG26*AH26*G26)^(1/3),3)</f>
        <v/>
      </c>
      <c r="AJ26" s="12" t="n">
        <v>0.924</v>
      </c>
      <c r="AK26" s="13">
        <f>AI26-AJ26</f>
        <v/>
      </c>
      <c r="AL26" s="13">
        <f>AK26-AVERAGE($AK$2:$AK$173)</f>
        <v/>
      </c>
      <c r="AM26" s="6">
        <f>IF(ABS(AL26)&gt;Config!$B$11,"REVIEW","")</f>
        <v/>
      </c>
      <c r="AN26" s="14">
        <f>RANK(AI26,$AI$2:$AI$173)</f>
        <v/>
      </c>
      <c r="AO26" s="14">
        <f>RANK(AJ26,$AJ$2:$AJ$173)</f>
        <v/>
      </c>
      <c r="AP26" s="14" t="n">
        <v>26</v>
      </c>
    </row>
    <row r="27">
      <c r="A27" s="6" t="inlineStr">
        <is>
          <t>Deschon</t>
        </is>
      </c>
      <c r="B27" s="6" t="inlineStr">
        <is>
          <t>Acrola</t>
        </is>
      </c>
      <c r="C27" s="6" t="inlineStr">
        <is>
          <t>resource</t>
        </is>
      </c>
      <c r="D27" s="7" t="n">
        <v>14571</v>
      </c>
      <c r="E27" s="8">
        <f>D27*Config!$B$4</f>
        <v/>
      </c>
      <c r="F27" s="6">
        <f>LN(MAX(60,E27))</f>
        <v/>
      </c>
      <c r="G27" s="9">
        <f>MEDIAN(0,(F27-LN(Config!$B$5))/(LN(Config!$B$6)-LN(Config!$B$5)),1)</f>
        <v/>
      </c>
      <c r="H27" s="6">
        <f>MOD((Config!$B$2+$AP27*7919)*9301+49297,233280)/233280</f>
        <v/>
      </c>
      <c r="I27" s="6">
        <f>MOD((Config!$B$2+$AP27*104729)*4096+150889,714025)/714025</f>
        <v/>
      </c>
      <c r="J27" s="6">
        <f>MOD((Config!$B$2*31+$AP27*15485863)*1366+150889,714025)/714025</f>
        <v/>
      </c>
      <c r="K27" s="6" t="n">
        <v>0.039743</v>
      </c>
      <c r="L27" s="6" t="n">
        <v>0.135052</v>
      </c>
      <c r="M27" s="6">
        <f>COUNTIF(Siblings!$A$2:$A$84,B27)</f>
        <v/>
      </c>
      <c r="N27" s="6">
        <f>1+INT(J27*M27)</f>
        <v/>
      </c>
      <c r="O27" s="6">
        <f>IF(K27&lt;&gt;"",K27,IFERROR(INDEX(Siblings!$D$2:$D$84,MATCH(B27&amp;"|"&amp;N27,Siblings!$F$2:$F$84,0)),0))</f>
        <v/>
      </c>
      <c r="P27" s="6">
        <f>IF(L27&lt;&gt;"",L27,IFERROR(INDEX(Siblings!$E$2:$E$84,MATCH(B27&amp;"|"&amp;N27,Siblings!$F$2:$F$84,0)),0))</f>
        <v/>
      </c>
      <c r="Q27" s="6">
        <f>(INDEX('Earth curves'!$B$2:$B$46,MAX(1,MIN(44,IFERROR(MATCH(F27,'Earth curves'!$A$2:$A$46,1),1))))+(F27-INDEX('Earth curves'!$A$2:$A$46,MAX(1,MIN(44,IFERROR(MATCH(F27,'Earth curves'!$A$2:$A$46,1),1)))))*(INDEX('Earth curves'!$B$2:$B$46,MAX(1,MIN(44,IFERROR(MATCH(F27,'Earth curves'!$A$2:$A$46,1),1)))+1)-INDEX('Earth curves'!$B$2:$B$46,MAX(1,MIN(44,IFERROR(MATCH(F27,'Earth curves'!$A$2:$A$46,1),1)))))/(INDEX('Earth curves'!$A$2:$A$46,MAX(1,MIN(44,IFERROR(MATCH(F27,'Earth curves'!$A$2:$A$46,1),1)))+1)-INDEX('Earth curves'!$A$2:$A$46,MAX(1,MIN(44,IFERROR(MATCH(F27,'Earth curves'!$A$2:$A$46,1),1))))))</f>
        <v/>
      </c>
      <c r="R27" s="6">
        <f>(INDEX('Earth curves'!$C$2:$C$46,MAX(1,MIN(44,IFERROR(MATCH(F27,'Earth curves'!$A$2:$A$46,1),1))))+(F27-INDEX('Earth curves'!$A$2:$A$46,MAX(1,MIN(44,IFERROR(MATCH(F27,'Earth curves'!$A$2:$A$46,1),1)))))*(INDEX('Earth curves'!$C$2:$C$46,MAX(1,MIN(44,IFERROR(MATCH(F27,'Earth curves'!$A$2:$A$46,1),1)))+1)-INDEX('Earth curves'!$C$2:$C$46,MAX(1,MIN(44,IFERROR(MATCH(F27,'Earth curves'!$A$2:$A$46,1),1)))))/(INDEX('Earth curves'!$A$2:$A$46,MAX(1,MIN(44,IFERROR(MATCH(F27,'Earth curves'!$A$2:$A$46,1),1)))+1)-INDEX('Earth curves'!$A$2:$A$46,MAX(1,MIN(44,IFERROR(MATCH(F27,'Earth curves'!$A$2:$A$46,1),1))))))</f>
        <v/>
      </c>
      <c r="S27" s="6">
        <f>MEDIAN(0.307692,Q27+MEDIAN(-0.350583,O27+NORMSINV(H27)*0.064828*Config!$B$3,0.120277),0.993846)</f>
        <v/>
      </c>
      <c r="T27" s="10">
        <f>ROUND(Config!$B$7+(Config!$B$8-Config!$B$7)*S27,1)</f>
        <v/>
      </c>
      <c r="U27" s="11" t="n"/>
      <c r="V27" s="10">
        <f>IF(U27="",T27,U27)</f>
        <v/>
      </c>
      <c r="W27" s="6">
        <f>MEDIAN(0.05,R27+MEDIAN(-0.302219,P27+NORMSINV(I27)*0.089531*Config!$B$3,0.274961),0.999)</f>
        <v/>
      </c>
      <c r="X27" s="6">
        <f>(INDEX('Earth curves'!$F$2:$F$46,MAX(1,MIN(44,IFERROR(MATCH(W27,'Earth curves'!$E$2:$E$46,1),1))))+(W27-INDEX('Earth curves'!$E$2:$E$46,MAX(1,MIN(44,IFERROR(MATCH(W27,'Earth curves'!$E$2:$E$46,1),1)))))*(INDEX('Earth curves'!$F$2:$F$46,MAX(1,MIN(44,IFERROR(MATCH(W27,'Earth curves'!$E$2:$E$46,1),1)))+1)-INDEX('Earth curves'!$F$2:$F$46,MAX(1,MIN(44,IFERROR(MATCH(W27,'Earth curves'!$E$2:$E$46,1),1)))))/(INDEX('Earth curves'!$E$2:$E$46,MAX(1,MIN(44,IFERROR(MATCH(W27,'Earth curves'!$E$2:$E$46,1),1)))+1)-INDEX('Earth curves'!$E$2:$E$46,MAX(1,MIN(44,IFERROR(MATCH(W27,'Earth curves'!$E$2:$E$46,1),1))))))</f>
        <v/>
      </c>
      <c r="Y27" s="6">
        <f>(INDEX('Earth curves'!$G$2:$G$46,MAX(1,MIN(44,IFERROR(MATCH(W27,'Earth curves'!$E$2:$E$46,1),1))))+(W27-INDEX('Earth curves'!$E$2:$E$46,MAX(1,MIN(44,IFERROR(MATCH(W27,'Earth curves'!$E$2:$E$46,1),1)))))*(INDEX('Earth curves'!$G$2:$G$46,MAX(1,MIN(44,IFERROR(MATCH(W27,'Earth curves'!$E$2:$E$46,1),1)))+1)-INDEX('Earth curves'!$G$2:$G$46,MAX(1,MIN(44,IFERROR(MATCH(W27,'Earth curves'!$E$2:$E$46,1),1)))))/(INDEX('Earth curves'!$E$2:$E$46,MAX(1,MIN(44,IFERROR(MATCH(W27,'Earth curves'!$E$2:$E$46,1),1)))+1)-INDEX('Earth curves'!$E$2:$E$46,MAX(1,MIN(44,IFERROR(MATCH(W27,'Earth curves'!$E$2:$E$46,1),1))))))</f>
        <v/>
      </c>
      <c r="Z27" s="6">
        <f>(MIN(X27/Config!$B$9,1)+MIN(Y27/Config!$B$10,1))/2</f>
        <v/>
      </c>
      <c r="AA27" s="10">
        <f>ROUND(MIN(22,MAX(3,X27*W27/Z27)),1)</f>
        <v/>
      </c>
      <c r="AB27" s="11" t="n"/>
      <c r="AC27" s="10">
        <f>IF(AB27="",AA27,AB27)</f>
        <v/>
      </c>
      <c r="AD27" s="10">
        <f>ROUND(MIN(Config!$B$10,MAX(1,Y27*W27/Z27)),1)</f>
        <v/>
      </c>
      <c r="AE27" s="11" t="n"/>
      <c r="AF27" s="10">
        <f>IF(AE27="",AD27,AE27)</f>
        <v/>
      </c>
      <c r="AG27" s="9">
        <f>(V27-Config!$B$7)/(Config!$B$8-Config!$B$7)</f>
        <v/>
      </c>
      <c r="AH27" s="9">
        <f>(MIN(AC27/Config!$B$9,1)+MIN(AF27/Config!$B$10,1))/2</f>
        <v/>
      </c>
      <c r="AI27" s="12">
        <f>ROUND((AG27*AH27*G27)^(1/3),3)</f>
        <v/>
      </c>
      <c r="AJ27" s="12" t="n">
        <v>0.553</v>
      </c>
      <c r="AK27" s="13">
        <f>AI27-AJ27</f>
        <v/>
      </c>
      <c r="AL27" s="13">
        <f>AK27-AVERAGE($AK$2:$AK$173)</f>
        <v/>
      </c>
      <c r="AM27" s="6">
        <f>IF(ABS(AL27)&gt;Config!$B$11,"REVIEW","")</f>
        <v/>
      </c>
      <c r="AN27" s="14">
        <f>RANK(AI27,$AI$2:$AI$173)</f>
        <v/>
      </c>
      <c r="AO27" s="14">
        <f>RANK(AJ27,$AJ$2:$AJ$173)</f>
        <v/>
      </c>
      <c r="AP27" s="14" t="n">
        <v>27</v>
      </c>
    </row>
    <row r="28">
      <c r="A28" s="6" t="inlineStr">
        <is>
          <t>Disal Nila</t>
        </is>
      </c>
      <c r="B28" s="6" t="inlineStr">
        <is>
          <t>Atirha</t>
        </is>
      </c>
      <c r="C28" s="6" t="inlineStr">
        <is>
          <t>petro, university</t>
        </is>
      </c>
      <c r="D28" s="7" t="n">
        <v>145397</v>
      </c>
      <c r="E28" s="8">
        <f>D28*Config!$B$4</f>
        <v/>
      </c>
      <c r="F28" s="6">
        <f>LN(MAX(60,E28))</f>
        <v/>
      </c>
      <c r="G28" s="9">
        <f>MEDIAN(0,(F28-LN(Config!$B$5))/(LN(Config!$B$6)-LN(Config!$B$5)),1)</f>
        <v/>
      </c>
      <c r="H28" s="6">
        <f>MOD((Config!$B$2+$AP28*7919)*9301+49297,233280)/233280</f>
        <v/>
      </c>
      <c r="I28" s="6">
        <f>MOD((Config!$B$2+$AP28*104729)*4096+150889,714025)/714025</f>
        <v/>
      </c>
      <c r="J28" s="6">
        <f>MOD((Config!$B$2*31+$AP28*15485863)*1366+150889,714025)/714025</f>
        <v/>
      </c>
      <c r="K28" s="6" t="n">
        <v>0.023607</v>
      </c>
      <c r="L28" s="6" t="n">
        <v>0.067838</v>
      </c>
      <c r="M28" s="6">
        <f>COUNTIF(Siblings!$A$2:$A$84,B28)</f>
        <v/>
      </c>
      <c r="N28" s="6">
        <f>1+INT(J28*M28)</f>
        <v/>
      </c>
      <c r="O28" s="6">
        <f>IF(K28&lt;&gt;"",K28,IFERROR(INDEX(Siblings!$D$2:$D$84,MATCH(B28&amp;"|"&amp;N28,Siblings!$F$2:$F$84,0)),0))</f>
        <v/>
      </c>
      <c r="P28" s="6">
        <f>IF(L28&lt;&gt;"",L28,IFERROR(INDEX(Siblings!$E$2:$E$84,MATCH(B28&amp;"|"&amp;N28,Siblings!$F$2:$F$84,0)),0))</f>
        <v/>
      </c>
      <c r="Q28" s="6">
        <f>(INDEX('Earth curves'!$B$2:$B$46,MAX(1,MIN(44,IFERROR(MATCH(F28,'Earth curves'!$A$2:$A$46,1),1))))+(F28-INDEX('Earth curves'!$A$2:$A$46,MAX(1,MIN(44,IFERROR(MATCH(F28,'Earth curves'!$A$2:$A$46,1),1)))))*(INDEX('Earth curves'!$B$2:$B$46,MAX(1,MIN(44,IFERROR(MATCH(F28,'Earth curves'!$A$2:$A$46,1),1)))+1)-INDEX('Earth curves'!$B$2:$B$46,MAX(1,MIN(44,IFERROR(MATCH(F28,'Earth curves'!$A$2:$A$46,1),1)))))/(INDEX('Earth curves'!$A$2:$A$46,MAX(1,MIN(44,IFERROR(MATCH(F28,'Earth curves'!$A$2:$A$46,1),1)))+1)-INDEX('Earth curves'!$A$2:$A$46,MAX(1,MIN(44,IFERROR(MATCH(F28,'Earth curves'!$A$2:$A$46,1),1))))))</f>
        <v/>
      </c>
      <c r="R28" s="6">
        <f>(INDEX('Earth curves'!$C$2:$C$46,MAX(1,MIN(44,IFERROR(MATCH(F28,'Earth curves'!$A$2:$A$46,1),1))))+(F28-INDEX('Earth curves'!$A$2:$A$46,MAX(1,MIN(44,IFERROR(MATCH(F28,'Earth curves'!$A$2:$A$46,1),1)))))*(INDEX('Earth curves'!$C$2:$C$46,MAX(1,MIN(44,IFERROR(MATCH(F28,'Earth curves'!$A$2:$A$46,1),1)))+1)-INDEX('Earth curves'!$C$2:$C$46,MAX(1,MIN(44,IFERROR(MATCH(F28,'Earth curves'!$A$2:$A$46,1),1)))))/(INDEX('Earth curves'!$A$2:$A$46,MAX(1,MIN(44,IFERROR(MATCH(F28,'Earth curves'!$A$2:$A$46,1),1)))+1)-INDEX('Earth curves'!$A$2:$A$46,MAX(1,MIN(44,IFERROR(MATCH(F28,'Earth curves'!$A$2:$A$46,1),1))))))</f>
        <v/>
      </c>
      <c r="S28" s="6">
        <f>MEDIAN(0.307692,Q28+MEDIAN(-0.350583,O28+NORMSINV(H28)*0.064828*Config!$B$3,0.120277),0.993846)</f>
        <v/>
      </c>
      <c r="T28" s="10">
        <f>ROUND(Config!$B$7+(Config!$B$8-Config!$B$7)*S28,1)</f>
        <v/>
      </c>
      <c r="U28" s="11" t="n"/>
      <c r="V28" s="10">
        <f>IF(U28="",T28,U28)</f>
        <v/>
      </c>
      <c r="W28" s="6">
        <f>MEDIAN(0.05,R28+MEDIAN(-0.302219,P28+NORMSINV(I28)*0.089531*Config!$B$3,0.274961),0.999)</f>
        <v/>
      </c>
      <c r="X28" s="6">
        <f>(INDEX('Earth curves'!$F$2:$F$46,MAX(1,MIN(44,IFERROR(MATCH(W28,'Earth curves'!$E$2:$E$46,1),1))))+(W28-INDEX('Earth curves'!$E$2:$E$46,MAX(1,MIN(44,IFERROR(MATCH(W28,'Earth curves'!$E$2:$E$46,1),1)))))*(INDEX('Earth curves'!$F$2:$F$46,MAX(1,MIN(44,IFERROR(MATCH(W28,'Earth curves'!$E$2:$E$46,1),1)))+1)-INDEX('Earth curves'!$F$2:$F$46,MAX(1,MIN(44,IFERROR(MATCH(W28,'Earth curves'!$E$2:$E$46,1),1)))))/(INDEX('Earth curves'!$E$2:$E$46,MAX(1,MIN(44,IFERROR(MATCH(W28,'Earth curves'!$E$2:$E$46,1),1)))+1)-INDEX('Earth curves'!$E$2:$E$46,MAX(1,MIN(44,IFERROR(MATCH(W28,'Earth curves'!$E$2:$E$46,1),1))))))</f>
        <v/>
      </c>
      <c r="Y28" s="6">
        <f>(INDEX('Earth curves'!$G$2:$G$46,MAX(1,MIN(44,IFERROR(MATCH(W28,'Earth curves'!$E$2:$E$46,1),1))))+(W28-INDEX('Earth curves'!$E$2:$E$46,MAX(1,MIN(44,IFERROR(MATCH(W28,'Earth curves'!$E$2:$E$46,1),1)))))*(INDEX('Earth curves'!$G$2:$G$46,MAX(1,MIN(44,IFERROR(MATCH(W28,'Earth curves'!$E$2:$E$46,1),1)))+1)-INDEX('Earth curves'!$G$2:$G$46,MAX(1,MIN(44,IFERROR(MATCH(W28,'Earth curves'!$E$2:$E$46,1),1)))))/(INDEX('Earth curves'!$E$2:$E$46,MAX(1,MIN(44,IFERROR(MATCH(W28,'Earth curves'!$E$2:$E$46,1),1)))+1)-INDEX('Earth curves'!$E$2:$E$46,MAX(1,MIN(44,IFERROR(MATCH(W28,'Earth curves'!$E$2:$E$46,1),1))))))</f>
        <v/>
      </c>
      <c r="Z28" s="6">
        <f>(MIN(X28/Config!$B$9,1)+MIN(Y28/Config!$B$10,1))/2</f>
        <v/>
      </c>
      <c r="AA28" s="10">
        <f>ROUND(MIN(22,MAX(3,X28*W28/Z28)),1)</f>
        <v/>
      </c>
      <c r="AB28" s="11" t="n"/>
      <c r="AC28" s="10">
        <f>IF(AB28="",AA28,AB28)</f>
        <v/>
      </c>
      <c r="AD28" s="10">
        <f>ROUND(MIN(Config!$B$10,MAX(1,Y28*W28/Z28)),1)</f>
        <v/>
      </c>
      <c r="AE28" s="11" t="n"/>
      <c r="AF28" s="10">
        <f>IF(AE28="",AD28,AE28)</f>
        <v/>
      </c>
      <c r="AG28" s="9">
        <f>(V28-Config!$B$7)/(Config!$B$8-Config!$B$7)</f>
        <v/>
      </c>
      <c r="AH28" s="9">
        <f>(MIN(AC28/Config!$B$9,1)+MIN(AF28/Config!$B$10,1))/2</f>
        <v/>
      </c>
      <c r="AI28" s="12">
        <f>ROUND((AG28*AH28*G28)^(1/3),3)</f>
        <v/>
      </c>
      <c r="AJ28" s="12" t="n">
        <v>0.955</v>
      </c>
      <c r="AK28" s="13">
        <f>AI28-AJ28</f>
        <v/>
      </c>
      <c r="AL28" s="13">
        <f>AK28-AVERAGE($AK$2:$AK$173)</f>
        <v/>
      </c>
      <c r="AM28" s="6">
        <f>IF(ABS(AL28)&gt;Config!$B$11,"REVIEW","")</f>
        <v/>
      </c>
      <c r="AN28" s="14">
        <f>RANK(AI28,$AI$2:$AI$173)</f>
        <v/>
      </c>
      <c r="AO28" s="14">
        <f>RANK(AJ28,$AJ$2:$AJ$173)</f>
        <v/>
      </c>
      <c r="AP28" s="14" t="n">
        <v>28</v>
      </c>
    </row>
    <row r="29">
      <c r="A29" s="6" t="inlineStr">
        <is>
          <t>Dual Cenryia</t>
        </is>
      </c>
      <c r="B29" s="6" t="inlineStr">
        <is>
          <t>Mahea</t>
        </is>
      </c>
      <c r="C29" s="6" t="inlineStr">
        <is>
          <t>resource</t>
        </is>
      </c>
      <c r="D29" s="7" t="n">
        <v>26381</v>
      </c>
      <c r="E29" s="8">
        <f>D29*Config!$B$4</f>
        <v/>
      </c>
      <c r="F29" s="6">
        <f>LN(MAX(60,E29))</f>
        <v/>
      </c>
      <c r="G29" s="9">
        <f>MEDIAN(0,(F29-LN(Config!$B$5))/(LN(Config!$B$6)-LN(Config!$B$5)),1)</f>
        <v/>
      </c>
      <c r="H29" s="6">
        <f>MOD((Config!$B$2+$AP29*7919)*9301+49297,233280)/233280</f>
        <v/>
      </c>
      <c r="I29" s="6">
        <f>MOD((Config!$B$2+$AP29*104729)*4096+150889,714025)/714025</f>
        <v/>
      </c>
      <c r="J29" s="6">
        <f>MOD((Config!$B$2*31+$AP29*15485863)*1366+150889,714025)/714025</f>
        <v/>
      </c>
      <c r="K29" s="6" t="n">
        <v>-0.015885</v>
      </c>
      <c r="L29" s="6" t="n">
        <v>0.027851</v>
      </c>
      <c r="M29" s="6">
        <f>COUNTIF(Siblings!$A$2:$A$84,B29)</f>
        <v/>
      </c>
      <c r="N29" s="6">
        <f>1+INT(J29*M29)</f>
        <v/>
      </c>
      <c r="O29" s="6">
        <f>IF(K29&lt;&gt;"",K29,IFERROR(INDEX(Siblings!$D$2:$D$84,MATCH(B29&amp;"|"&amp;N29,Siblings!$F$2:$F$84,0)),0))</f>
        <v/>
      </c>
      <c r="P29" s="6">
        <f>IF(L29&lt;&gt;"",L29,IFERROR(INDEX(Siblings!$E$2:$E$84,MATCH(B29&amp;"|"&amp;N29,Siblings!$F$2:$F$84,0)),0))</f>
        <v/>
      </c>
      <c r="Q29" s="6">
        <f>(INDEX('Earth curves'!$B$2:$B$46,MAX(1,MIN(44,IFERROR(MATCH(F29,'Earth curves'!$A$2:$A$46,1),1))))+(F29-INDEX('Earth curves'!$A$2:$A$46,MAX(1,MIN(44,IFERROR(MATCH(F29,'Earth curves'!$A$2:$A$46,1),1)))))*(INDEX('Earth curves'!$B$2:$B$46,MAX(1,MIN(44,IFERROR(MATCH(F29,'Earth curves'!$A$2:$A$46,1),1)))+1)-INDEX('Earth curves'!$B$2:$B$46,MAX(1,MIN(44,IFERROR(MATCH(F29,'Earth curves'!$A$2:$A$46,1),1)))))/(INDEX('Earth curves'!$A$2:$A$46,MAX(1,MIN(44,IFERROR(MATCH(F29,'Earth curves'!$A$2:$A$46,1),1)))+1)-INDEX('Earth curves'!$A$2:$A$46,MAX(1,MIN(44,IFERROR(MATCH(F29,'Earth curves'!$A$2:$A$46,1),1))))))</f>
        <v/>
      </c>
      <c r="R29" s="6">
        <f>(INDEX('Earth curves'!$C$2:$C$46,MAX(1,MIN(44,IFERROR(MATCH(F29,'Earth curves'!$A$2:$A$46,1),1))))+(F29-INDEX('Earth curves'!$A$2:$A$46,MAX(1,MIN(44,IFERROR(MATCH(F29,'Earth curves'!$A$2:$A$46,1),1)))))*(INDEX('Earth curves'!$C$2:$C$46,MAX(1,MIN(44,IFERROR(MATCH(F29,'Earth curves'!$A$2:$A$46,1),1)))+1)-INDEX('Earth curves'!$C$2:$C$46,MAX(1,MIN(44,IFERROR(MATCH(F29,'Earth curves'!$A$2:$A$46,1),1)))))/(INDEX('Earth curves'!$A$2:$A$46,MAX(1,MIN(44,IFERROR(MATCH(F29,'Earth curves'!$A$2:$A$46,1),1)))+1)-INDEX('Earth curves'!$A$2:$A$46,MAX(1,MIN(44,IFERROR(MATCH(F29,'Earth curves'!$A$2:$A$46,1),1))))))</f>
        <v/>
      </c>
      <c r="S29" s="6">
        <f>MEDIAN(0.307692,Q29+MEDIAN(-0.350583,O29+NORMSINV(H29)*0.064828*Config!$B$3,0.120277),0.993846)</f>
        <v/>
      </c>
      <c r="T29" s="10">
        <f>ROUND(Config!$B$7+(Config!$B$8-Config!$B$7)*S29,1)</f>
        <v/>
      </c>
      <c r="U29" s="11" t="n"/>
      <c r="V29" s="10">
        <f>IF(U29="",T29,U29)</f>
        <v/>
      </c>
      <c r="W29" s="6">
        <f>MEDIAN(0.05,R29+MEDIAN(-0.302219,P29+NORMSINV(I29)*0.089531*Config!$B$3,0.274961),0.999)</f>
        <v/>
      </c>
      <c r="X29" s="6">
        <f>(INDEX('Earth curves'!$F$2:$F$46,MAX(1,MIN(44,IFERROR(MATCH(W29,'Earth curves'!$E$2:$E$46,1),1))))+(W29-INDEX('Earth curves'!$E$2:$E$46,MAX(1,MIN(44,IFERROR(MATCH(W29,'Earth curves'!$E$2:$E$46,1),1)))))*(INDEX('Earth curves'!$F$2:$F$46,MAX(1,MIN(44,IFERROR(MATCH(W29,'Earth curves'!$E$2:$E$46,1),1)))+1)-INDEX('Earth curves'!$F$2:$F$46,MAX(1,MIN(44,IFERROR(MATCH(W29,'Earth curves'!$E$2:$E$46,1),1)))))/(INDEX('Earth curves'!$E$2:$E$46,MAX(1,MIN(44,IFERROR(MATCH(W29,'Earth curves'!$E$2:$E$46,1),1)))+1)-INDEX('Earth curves'!$E$2:$E$46,MAX(1,MIN(44,IFERROR(MATCH(W29,'Earth curves'!$E$2:$E$46,1),1))))))</f>
        <v/>
      </c>
      <c r="Y29" s="6">
        <f>(INDEX('Earth curves'!$G$2:$G$46,MAX(1,MIN(44,IFERROR(MATCH(W29,'Earth curves'!$E$2:$E$46,1),1))))+(W29-INDEX('Earth curves'!$E$2:$E$46,MAX(1,MIN(44,IFERROR(MATCH(W29,'Earth curves'!$E$2:$E$46,1),1)))))*(INDEX('Earth curves'!$G$2:$G$46,MAX(1,MIN(44,IFERROR(MATCH(W29,'Earth curves'!$E$2:$E$46,1),1)))+1)-INDEX('Earth curves'!$G$2:$G$46,MAX(1,MIN(44,IFERROR(MATCH(W29,'Earth curves'!$E$2:$E$46,1),1)))))/(INDEX('Earth curves'!$E$2:$E$46,MAX(1,MIN(44,IFERROR(MATCH(W29,'Earth curves'!$E$2:$E$46,1),1)))+1)-INDEX('Earth curves'!$E$2:$E$46,MAX(1,MIN(44,IFERROR(MATCH(W29,'Earth curves'!$E$2:$E$46,1),1))))))</f>
        <v/>
      </c>
      <c r="Z29" s="6">
        <f>(MIN(X29/Config!$B$9,1)+MIN(Y29/Config!$B$10,1))/2</f>
        <v/>
      </c>
      <c r="AA29" s="10">
        <f>ROUND(MIN(22,MAX(3,X29*W29/Z29)),1)</f>
        <v/>
      </c>
      <c r="AB29" s="11" t="n"/>
      <c r="AC29" s="10">
        <f>IF(AB29="",AA29,AB29)</f>
        <v/>
      </c>
      <c r="AD29" s="10">
        <f>ROUND(MIN(Config!$B$10,MAX(1,Y29*W29/Z29)),1)</f>
        <v/>
      </c>
      <c r="AE29" s="11" t="n"/>
      <c r="AF29" s="10">
        <f>IF(AE29="",AD29,AE29)</f>
        <v/>
      </c>
      <c r="AG29" s="9">
        <f>(V29-Config!$B$7)/(Config!$B$8-Config!$B$7)</f>
        <v/>
      </c>
      <c r="AH29" s="9">
        <f>(MIN(AC29/Config!$B$9,1)+MIN(AF29/Config!$B$10,1))/2</f>
        <v/>
      </c>
      <c r="AI29" s="12">
        <f>ROUND((AG29*AH29*G29)^(1/3),3)</f>
        <v/>
      </c>
      <c r="AJ29" s="12" t="n">
        <v>0.738</v>
      </c>
      <c r="AK29" s="13">
        <f>AI29-AJ29</f>
        <v/>
      </c>
      <c r="AL29" s="13">
        <f>AK29-AVERAGE($AK$2:$AK$173)</f>
        <v/>
      </c>
      <c r="AM29" s="6">
        <f>IF(ABS(AL29)&gt;Config!$B$11,"REVIEW","")</f>
        <v/>
      </c>
      <c r="AN29" s="14">
        <f>RANK(AI29,$AI$2:$AI$173)</f>
        <v/>
      </c>
      <c r="AO29" s="14">
        <f>RANK(AJ29,$AJ$2:$AJ$173)</f>
        <v/>
      </c>
      <c r="AP29" s="14" t="n">
        <v>29</v>
      </c>
    </row>
    <row r="30">
      <c r="A30" s="6" t="inlineStr">
        <is>
          <t>Ealdorii</t>
        </is>
      </c>
      <c r="B30" s="6" t="inlineStr">
        <is>
          <t>Ayuma</t>
        </is>
      </c>
      <c r="C30" s="6" t="inlineStr">
        <is>
          <t>resource</t>
        </is>
      </c>
      <c r="D30" s="7" t="n">
        <v>39365</v>
      </c>
      <c r="E30" s="8">
        <f>D30*Config!$B$4</f>
        <v/>
      </c>
      <c r="F30" s="6">
        <f>LN(MAX(60,E30))</f>
        <v/>
      </c>
      <c r="G30" s="9">
        <f>MEDIAN(0,(F30-LN(Config!$B$5))/(LN(Config!$B$6)-LN(Config!$B$5)),1)</f>
        <v/>
      </c>
      <c r="H30" s="6">
        <f>MOD((Config!$B$2+$AP30*7919)*9301+49297,233280)/233280</f>
        <v/>
      </c>
      <c r="I30" s="6">
        <f>MOD((Config!$B$2+$AP30*104729)*4096+150889,714025)/714025</f>
        <v/>
      </c>
      <c r="J30" s="6">
        <f>MOD((Config!$B$2*31+$AP30*15485863)*1366+150889,714025)/714025</f>
        <v/>
      </c>
      <c r="K30" s="6" t="n">
        <v>-0.023486</v>
      </c>
      <c r="L30" s="6" t="n">
        <v>-0.129554</v>
      </c>
      <c r="M30" s="6">
        <f>COUNTIF(Siblings!$A$2:$A$84,B30)</f>
        <v/>
      </c>
      <c r="N30" s="6">
        <f>1+INT(J30*M30)</f>
        <v/>
      </c>
      <c r="O30" s="6">
        <f>IF(K30&lt;&gt;"",K30,IFERROR(INDEX(Siblings!$D$2:$D$84,MATCH(B30&amp;"|"&amp;N30,Siblings!$F$2:$F$84,0)),0))</f>
        <v/>
      </c>
      <c r="P30" s="6">
        <f>IF(L30&lt;&gt;"",L30,IFERROR(INDEX(Siblings!$E$2:$E$84,MATCH(B30&amp;"|"&amp;N30,Siblings!$F$2:$F$84,0)),0))</f>
        <v/>
      </c>
      <c r="Q30" s="6">
        <f>(INDEX('Earth curves'!$B$2:$B$46,MAX(1,MIN(44,IFERROR(MATCH(F30,'Earth curves'!$A$2:$A$46,1),1))))+(F30-INDEX('Earth curves'!$A$2:$A$46,MAX(1,MIN(44,IFERROR(MATCH(F30,'Earth curves'!$A$2:$A$46,1),1)))))*(INDEX('Earth curves'!$B$2:$B$46,MAX(1,MIN(44,IFERROR(MATCH(F30,'Earth curves'!$A$2:$A$46,1),1)))+1)-INDEX('Earth curves'!$B$2:$B$46,MAX(1,MIN(44,IFERROR(MATCH(F30,'Earth curves'!$A$2:$A$46,1),1)))))/(INDEX('Earth curves'!$A$2:$A$46,MAX(1,MIN(44,IFERROR(MATCH(F30,'Earth curves'!$A$2:$A$46,1),1)))+1)-INDEX('Earth curves'!$A$2:$A$46,MAX(1,MIN(44,IFERROR(MATCH(F30,'Earth curves'!$A$2:$A$46,1),1))))))</f>
        <v/>
      </c>
      <c r="R30" s="6">
        <f>(INDEX('Earth curves'!$C$2:$C$46,MAX(1,MIN(44,IFERROR(MATCH(F30,'Earth curves'!$A$2:$A$46,1),1))))+(F30-INDEX('Earth curves'!$A$2:$A$46,MAX(1,MIN(44,IFERROR(MATCH(F30,'Earth curves'!$A$2:$A$46,1),1)))))*(INDEX('Earth curves'!$C$2:$C$46,MAX(1,MIN(44,IFERROR(MATCH(F30,'Earth curves'!$A$2:$A$46,1),1)))+1)-INDEX('Earth curves'!$C$2:$C$46,MAX(1,MIN(44,IFERROR(MATCH(F30,'Earth curves'!$A$2:$A$46,1),1)))))/(INDEX('Earth curves'!$A$2:$A$46,MAX(1,MIN(44,IFERROR(MATCH(F30,'Earth curves'!$A$2:$A$46,1),1)))+1)-INDEX('Earth curves'!$A$2:$A$46,MAX(1,MIN(44,IFERROR(MATCH(F30,'Earth curves'!$A$2:$A$46,1),1))))))</f>
        <v/>
      </c>
      <c r="S30" s="6">
        <f>MEDIAN(0.307692,Q30+MEDIAN(-0.350583,O30+NORMSINV(H30)*0.064828*Config!$B$3,0.120277),0.993846)</f>
        <v/>
      </c>
      <c r="T30" s="10">
        <f>ROUND(Config!$B$7+(Config!$B$8-Config!$B$7)*S30,1)</f>
        <v/>
      </c>
      <c r="U30" s="11" t="n"/>
      <c r="V30" s="10">
        <f>IF(U30="",T30,U30)</f>
        <v/>
      </c>
      <c r="W30" s="6">
        <f>MEDIAN(0.05,R30+MEDIAN(-0.302219,P30+NORMSINV(I30)*0.089531*Config!$B$3,0.274961),0.999)</f>
        <v/>
      </c>
      <c r="X30" s="6">
        <f>(INDEX('Earth curves'!$F$2:$F$46,MAX(1,MIN(44,IFERROR(MATCH(W30,'Earth curves'!$E$2:$E$46,1),1))))+(W30-INDEX('Earth curves'!$E$2:$E$46,MAX(1,MIN(44,IFERROR(MATCH(W30,'Earth curves'!$E$2:$E$46,1),1)))))*(INDEX('Earth curves'!$F$2:$F$46,MAX(1,MIN(44,IFERROR(MATCH(W30,'Earth curves'!$E$2:$E$46,1),1)))+1)-INDEX('Earth curves'!$F$2:$F$46,MAX(1,MIN(44,IFERROR(MATCH(W30,'Earth curves'!$E$2:$E$46,1),1)))))/(INDEX('Earth curves'!$E$2:$E$46,MAX(1,MIN(44,IFERROR(MATCH(W30,'Earth curves'!$E$2:$E$46,1),1)))+1)-INDEX('Earth curves'!$E$2:$E$46,MAX(1,MIN(44,IFERROR(MATCH(W30,'Earth curves'!$E$2:$E$46,1),1))))))</f>
        <v/>
      </c>
      <c r="Y30" s="6">
        <f>(INDEX('Earth curves'!$G$2:$G$46,MAX(1,MIN(44,IFERROR(MATCH(W30,'Earth curves'!$E$2:$E$46,1),1))))+(W30-INDEX('Earth curves'!$E$2:$E$46,MAX(1,MIN(44,IFERROR(MATCH(W30,'Earth curves'!$E$2:$E$46,1),1)))))*(INDEX('Earth curves'!$G$2:$G$46,MAX(1,MIN(44,IFERROR(MATCH(W30,'Earth curves'!$E$2:$E$46,1),1)))+1)-INDEX('Earth curves'!$G$2:$G$46,MAX(1,MIN(44,IFERROR(MATCH(W30,'Earth curves'!$E$2:$E$46,1),1)))))/(INDEX('Earth curves'!$E$2:$E$46,MAX(1,MIN(44,IFERROR(MATCH(W30,'Earth curves'!$E$2:$E$46,1),1)))+1)-INDEX('Earth curves'!$E$2:$E$46,MAX(1,MIN(44,IFERROR(MATCH(W30,'Earth curves'!$E$2:$E$46,1),1))))))</f>
        <v/>
      </c>
      <c r="Z30" s="6">
        <f>(MIN(X30/Config!$B$9,1)+MIN(Y30/Config!$B$10,1))/2</f>
        <v/>
      </c>
      <c r="AA30" s="10">
        <f>ROUND(MIN(22,MAX(3,X30*W30/Z30)),1)</f>
        <v/>
      </c>
      <c r="AB30" s="11" t="n"/>
      <c r="AC30" s="10">
        <f>IF(AB30="",AA30,AB30)</f>
        <v/>
      </c>
      <c r="AD30" s="10">
        <f>ROUND(MIN(Config!$B$10,MAX(1,Y30*W30/Z30)),1)</f>
        <v/>
      </c>
      <c r="AE30" s="11" t="n"/>
      <c r="AF30" s="10">
        <f>IF(AE30="",AD30,AE30)</f>
        <v/>
      </c>
      <c r="AG30" s="9">
        <f>(V30-Config!$B$7)/(Config!$B$8-Config!$B$7)</f>
        <v/>
      </c>
      <c r="AH30" s="9">
        <f>(MIN(AC30/Config!$B$9,1)+MIN(AF30/Config!$B$10,1))/2</f>
        <v/>
      </c>
      <c r="AI30" s="12">
        <f>ROUND((AG30*AH30*G30)^(1/3),3)</f>
        <v/>
      </c>
      <c r="AJ30" s="12" t="n">
        <v>0.78</v>
      </c>
      <c r="AK30" s="13">
        <f>AI30-AJ30</f>
        <v/>
      </c>
      <c r="AL30" s="13">
        <f>AK30-AVERAGE($AK$2:$AK$173)</f>
        <v/>
      </c>
      <c r="AM30" s="6">
        <f>IF(ABS(AL30)&gt;Config!$B$11,"REVIEW","")</f>
        <v/>
      </c>
      <c r="AN30" s="14">
        <f>RANK(AI30,$AI$2:$AI$173)</f>
        <v/>
      </c>
      <c r="AO30" s="14">
        <f>RANK(AJ30,$AJ$2:$AJ$173)</f>
        <v/>
      </c>
      <c r="AP30" s="14" t="n">
        <v>30</v>
      </c>
    </row>
    <row r="31">
      <c r="A31" s="6" t="inlineStr">
        <is>
          <t>Easuhura</t>
        </is>
      </c>
      <c r="B31" s="6" t="inlineStr">
        <is>
          <t>Ayuma</t>
        </is>
      </c>
      <c r="C31" s="6" t="inlineStr">
        <is>
          <t>resource, university</t>
        </is>
      </c>
      <c r="D31" s="7" t="n">
        <v>200000</v>
      </c>
      <c r="E31" s="8">
        <f>D31*Config!$B$4</f>
        <v/>
      </c>
      <c r="F31" s="6">
        <f>LN(MAX(60,E31))</f>
        <v/>
      </c>
      <c r="G31" s="9">
        <f>MEDIAN(0,(F31-LN(Config!$B$5))/(LN(Config!$B$6)-LN(Config!$B$5)),1)</f>
        <v/>
      </c>
      <c r="H31" s="6">
        <f>MOD((Config!$B$2+$AP31*7919)*9301+49297,233280)/233280</f>
        <v/>
      </c>
      <c r="I31" s="6">
        <f>MOD((Config!$B$2+$AP31*104729)*4096+150889,714025)/714025</f>
        <v/>
      </c>
      <c r="J31" s="6">
        <f>MOD((Config!$B$2*31+$AP31*15485863)*1366+150889,714025)/714025</f>
        <v/>
      </c>
      <c r="K31" s="6" t="n">
        <v>0.01038</v>
      </c>
      <c r="L31" s="6" t="n">
        <v>0.08275100000000001</v>
      </c>
      <c r="M31" s="6">
        <f>COUNTIF(Siblings!$A$2:$A$84,B31)</f>
        <v/>
      </c>
      <c r="N31" s="6">
        <f>1+INT(J31*M31)</f>
        <v/>
      </c>
      <c r="O31" s="6">
        <f>IF(K31&lt;&gt;"",K31,IFERROR(INDEX(Siblings!$D$2:$D$84,MATCH(B31&amp;"|"&amp;N31,Siblings!$F$2:$F$84,0)),0))</f>
        <v/>
      </c>
      <c r="P31" s="6">
        <f>IF(L31&lt;&gt;"",L31,IFERROR(INDEX(Siblings!$E$2:$E$84,MATCH(B31&amp;"|"&amp;N31,Siblings!$F$2:$F$84,0)),0))</f>
        <v/>
      </c>
      <c r="Q31" s="6">
        <f>(INDEX('Earth curves'!$B$2:$B$46,MAX(1,MIN(44,IFERROR(MATCH(F31,'Earth curves'!$A$2:$A$46,1),1))))+(F31-INDEX('Earth curves'!$A$2:$A$46,MAX(1,MIN(44,IFERROR(MATCH(F31,'Earth curves'!$A$2:$A$46,1),1)))))*(INDEX('Earth curves'!$B$2:$B$46,MAX(1,MIN(44,IFERROR(MATCH(F31,'Earth curves'!$A$2:$A$46,1),1)))+1)-INDEX('Earth curves'!$B$2:$B$46,MAX(1,MIN(44,IFERROR(MATCH(F31,'Earth curves'!$A$2:$A$46,1),1)))))/(INDEX('Earth curves'!$A$2:$A$46,MAX(1,MIN(44,IFERROR(MATCH(F31,'Earth curves'!$A$2:$A$46,1),1)))+1)-INDEX('Earth curves'!$A$2:$A$46,MAX(1,MIN(44,IFERROR(MATCH(F31,'Earth curves'!$A$2:$A$46,1),1))))))</f>
        <v/>
      </c>
      <c r="R31" s="6">
        <f>(INDEX('Earth curves'!$C$2:$C$46,MAX(1,MIN(44,IFERROR(MATCH(F31,'Earth curves'!$A$2:$A$46,1),1))))+(F31-INDEX('Earth curves'!$A$2:$A$46,MAX(1,MIN(44,IFERROR(MATCH(F31,'Earth curves'!$A$2:$A$46,1),1)))))*(INDEX('Earth curves'!$C$2:$C$46,MAX(1,MIN(44,IFERROR(MATCH(F31,'Earth curves'!$A$2:$A$46,1),1)))+1)-INDEX('Earth curves'!$C$2:$C$46,MAX(1,MIN(44,IFERROR(MATCH(F31,'Earth curves'!$A$2:$A$46,1),1)))))/(INDEX('Earth curves'!$A$2:$A$46,MAX(1,MIN(44,IFERROR(MATCH(F31,'Earth curves'!$A$2:$A$46,1),1)))+1)-INDEX('Earth curves'!$A$2:$A$46,MAX(1,MIN(44,IFERROR(MATCH(F31,'Earth curves'!$A$2:$A$46,1),1))))))</f>
        <v/>
      </c>
      <c r="S31" s="6">
        <f>MEDIAN(0.307692,Q31+MEDIAN(-0.350583,O31+NORMSINV(H31)*0.064828*Config!$B$3,0.120277),0.993846)</f>
        <v/>
      </c>
      <c r="T31" s="10">
        <f>ROUND(Config!$B$7+(Config!$B$8-Config!$B$7)*S31,1)</f>
        <v/>
      </c>
      <c r="U31" s="11" t="n"/>
      <c r="V31" s="10">
        <f>IF(U31="",T31,U31)</f>
        <v/>
      </c>
      <c r="W31" s="6">
        <f>MEDIAN(0.05,R31+MEDIAN(-0.302219,P31+NORMSINV(I31)*0.089531*Config!$B$3,0.274961),0.999)</f>
        <v/>
      </c>
      <c r="X31" s="6">
        <f>(INDEX('Earth curves'!$F$2:$F$46,MAX(1,MIN(44,IFERROR(MATCH(W31,'Earth curves'!$E$2:$E$46,1),1))))+(W31-INDEX('Earth curves'!$E$2:$E$46,MAX(1,MIN(44,IFERROR(MATCH(W31,'Earth curves'!$E$2:$E$46,1),1)))))*(INDEX('Earth curves'!$F$2:$F$46,MAX(1,MIN(44,IFERROR(MATCH(W31,'Earth curves'!$E$2:$E$46,1),1)))+1)-INDEX('Earth curves'!$F$2:$F$46,MAX(1,MIN(44,IFERROR(MATCH(W31,'Earth curves'!$E$2:$E$46,1),1)))))/(INDEX('Earth curves'!$E$2:$E$46,MAX(1,MIN(44,IFERROR(MATCH(W31,'Earth curves'!$E$2:$E$46,1),1)))+1)-INDEX('Earth curves'!$E$2:$E$46,MAX(1,MIN(44,IFERROR(MATCH(W31,'Earth curves'!$E$2:$E$46,1),1))))))</f>
        <v/>
      </c>
      <c r="Y31" s="6">
        <f>(INDEX('Earth curves'!$G$2:$G$46,MAX(1,MIN(44,IFERROR(MATCH(W31,'Earth curves'!$E$2:$E$46,1),1))))+(W31-INDEX('Earth curves'!$E$2:$E$46,MAX(1,MIN(44,IFERROR(MATCH(W31,'Earth curves'!$E$2:$E$46,1),1)))))*(INDEX('Earth curves'!$G$2:$G$46,MAX(1,MIN(44,IFERROR(MATCH(W31,'Earth curves'!$E$2:$E$46,1),1)))+1)-INDEX('Earth curves'!$G$2:$G$46,MAX(1,MIN(44,IFERROR(MATCH(W31,'Earth curves'!$E$2:$E$46,1),1)))))/(INDEX('Earth curves'!$E$2:$E$46,MAX(1,MIN(44,IFERROR(MATCH(W31,'Earth curves'!$E$2:$E$46,1),1)))+1)-INDEX('Earth curves'!$E$2:$E$46,MAX(1,MIN(44,IFERROR(MATCH(W31,'Earth curves'!$E$2:$E$46,1),1))))))</f>
        <v/>
      </c>
      <c r="Z31" s="6">
        <f>(MIN(X31/Config!$B$9,1)+MIN(Y31/Config!$B$10,1))/2</f>
        <v/>
      </c>
      <c r="AA31" s="10">
        <f>ROUND(MIN(22,MAX(3,X31*W31/Z31)),1)</f>
        <v/>
      </c>
      <c r="AB31" s="11" t="n"/>
      <c r="AC31" s="10">
        <f>IF(AB31="",AA31,AB31)</f>
        <v/>
      </c>
      <c r="AD31" s="10">
        <f>ROUND(MIN(Config!$B$10,MAX(1,Y31*W31/Z31)),1)</f>
        <v/>
      </c>
      <c r="AE31" s="11" t="n"/>
      <c r="AF31" s="10">
        <f>IF(AE31="",AD31,AE31)</f>
        <v/>
      </c>
      <c r="AG31" s="9">
        <f>(V31-Config!$B$7)/(Config!$B$8-Config!$B$7)</f>
        <v/>
      </c>
      <c r="AH31" s="9">
        <f>(MIN(AC31/Config!$B$9,1)+MIN(AF31/Config!$B$10,1))/2</f>
        <v/>
      </c>
      <c r="AI31" s="12">
        <f>ROUND((AG31*AH31*G31)^(1/3),3)</f>
        <v/>
      </c>
      <c r="AJ31" s="12" t="n">
        <v>0.947</v>
      </c>
      <c r="AK31" s="13">
        <f>AI31-AJ31</f>
        <v/>
      </c>
      <c r="AL31" s="13">
        <f>AK31-AVERAGE($AK$2:$AK$173)</f>
        <v/>
      </c>
      <c r="AM31" s="6">
        <f>IF(ABS(AL31)&gt;Config!$B$11,"REVIEW","")</f>
        <v/>
      </c>
      <c r="AN31" s="14">
        <f>RANK(AI31,$AI$2:$AI$173)</f>
        <v/>
      </c>
      <c r="AO31" s="14">
        <f>RANK(AJ31,$AJ$2:$AJ$173)</f>
        <v/>
      </c>
      <c r="AP31" s="14" t="n">
        <v>31</v>
      </c>
    </row>
    <row r="32">
      <c r="A32" s="6" t="inlineStr">
        <is>
          <t>Eldavpir</t>
        </is>
      </c>
      <c r="B32" s="6" t="inlineStr">
        <is>
          <t>Acrola</t>
        </is>
      </c>
      <c r="C32" s="6" t="inlineStr">
        <is>
          <t>—</t>
        </is>
      </c>
      <c r="D32" s="7" t="n">
        <v>9587</v>
      </c>
      <c r="E32" s="8">
        <f>D32*Config!$B$4</f>
        <v/>
      </c>
      <c r="F32" s="6">
        <f>LN(MAX(60,E32))</f>
        <v/>
      </c>
      <c r="G32" s="9">
        <f>MEDIAN(0,(F32-LN(Config!$B$5))/(LN(Config!$B$6)-LN(Config!$B$5)),1)</f>
        <v/>
      </c>
      <c r="H32" s="6">
        <f>MOD((Config!$B$2+$AP32*7919)*9301+49297,233280)/233280</f>
        <v/>
      </c>
      <c r="I32" s="6">
        <f>MOD((Config!$B$2+$AP32*104729)*4096+150889,714025)/714025</f>
        <v/>
      </c>
      <c r="J32" s="6">
        <f>MOD((Config!$B$2*31+$AP32*15485863)*1366+150889,714025)/714025</f>
        <v/>
      </c>
      <c r="K32" s="6" t="n">
        <v>-0.132226</v>
      </c>
      <c r="L32" s="6" t="n">
        <v>-0.128236</v>
      </c>
      <c r="M32" s="6">
        <f>COUNTIF(Siblings!$A$2:$A$84,B32)</f>
        <v/>
      </c>
      <c r="N32" s="6">
        <f>1+INT(J32*M32)</f>
        <v/>
      </c>
      <c r="O32" s="6">
        <f>IF(K32&lt;&gt;"",K32,IFERROR(INDEX(Siblings!$D$2:$D$84,MATCH(B32&amp;"|"&amp;N32,Siblings!$F$2:$F$84,0)),0))</f>
        <v/>
      </c>
      <c r="P32" s="6">
        <f>IF(L32&lt;&gt;"",L32,IFERROR(INDEX(Siblings!$E$2:$E$84,MATCH(B32&amp;"|"&amp;N32,Siblings!$F$2:$F$84,0)),0))</f>
        <v/>
      </c>
      <c r="Q32" s="6">
        <f>(INDEX('Earth curves'!$B$2:$B$46,MAX(1,MIN(44,IFERROR(MATCH(F32,'Earth curves'!$A$2:$A$46,1),1))))+(F32-INDEX('Earth curves'!$A$2:$A$46,MAX(1,MIN(44,IFERROR(MATCH(F32,'Earth curves'!$A$2:$A$46,1),1)))))*(INDEX('Earth curves'!$B$2:$B$46,MAX(1,MIN(44,IFERROR(MATCH(F32,'Earth curves'!$A$2:$A$46,1),1)))+1)-INDEX('Earth curves'!$B$2:$B$46,MAX(1,MIN(44,IFERROR(MATCH(F32,'Earth curves'!$A$2:$A$46,1),1)))))/(INDEX('Earth curves'!$A$2:$A$46,MAX(1,MIN(44,IFERROR(MATCH(F32,'Earth curves'!$A$2:$A$46,1),1)))+1)-INDEX('Earth curves'!$A$2:$A$46,MAX(1,MIN(44,IFERROR(MATCH(F32,'Earth curves'!$A$2:$A$46,1),1))))))</f>
        <v/>
      </c>
      <c r="R32" s="6">
        <f>(INDEX('Earth curves'!$C$2:$C$46,MAX(1,MIN(44,IFERROR(MATCH(F32,'Earth curves'!$A$2:$A$46,1),1))))+(F32-INDEX('Earth curves'!$A$2:$A$46,MAX(1,MIN(44,IFERROR(MATCH(F32,'Earth curves'!$A$2:$A$46,1),1)))))*(INDEX('Earth curves'!$C$2:$C$46,MAX(1,MIN(44,IFERROR(MATCH(F32,'Earth curves'!$A$2:$A$46,1),1)))+1)-INDEX('Earth curves'!$C$2:$C$46,MAX(1,MIN(44,IFERROR(MATCH(F32,'Earth curves'!$A$2:$A$46,1),1)))))/(INDEX('Earth curves'!$A$2:$A$46,MAX(1,MIN(44,IFERROR(MATCH(F32,'Earth curves'!$A$2:$A$46,1),1)))+1)-INDEX('Earth curves'!$A$2:$A$46,MAX(1,MIN(44,IFERROR(MATCH(F32,'Earth curves'!$A$2:$A$46,1),1))))))</f>
        <v/>
      </c>
      <c r="S32" s="6">
        <f>MEDIAN(0.307692,Q32+MEDIAN(-0.350583,O32+NORMSINV(H32)*0.064828*Config!$B$3,0.120277),0.993846)</f>
        <v/>
      </c>
      <c r="T32" s="10">
        <f>ROUND(Config!$B$7+(Config!$B$8-Config!$B$7)*S32,1)</f>
        <v/>
      </c>
      <c r="U32" s="11" t="n"/>
      <c r="V32" s="10">
        <f>IF(U32="",T32,U32)</f>
        <v/>
      </c>
      <c r="W32" s="6">
        <f>MEDIAN(0.05,R32+MEDIAN(-0.302219,P32+NORMSINV(I32)*0.089531*Config!$B$3,0.274961),0.999)</f>
        <v/>
      </c>
      <c r="X32" s="6">
        <f>(INDEX('Earth curves'!$F$2:$F$46,MAX(1,MIN(44,IFERROR(MATCH(W32,'Earth curves'!$E$2:$E$46,1),1))))+(W32-INDEX('Earth curves'!$E$2:$E$46,MAX(1,MIN(44,IFERROR(MATCH(W32,'Earth curves'!$E$2:$E$46,1),1)))))*(INDEX('Earth curves'!$F$2:$F$46,MAX(1,MIN(44,IFERROR(MATCH(W32,'Earth curves'!$E$2:$E$46,1),1)))+1)-INDEX('Earth curves'!$F$2:$F$46,MAX(1,MIN(44,IFERROR(MATCH(W32,'Earth curves'!$E$2:$E$46,1),1)))))/(INDEX('Earth curves'!$E$2:$E$46,MAX(1,MIN(44,IFERROR(MATCH(W32,'Earth curves'!$E$2:$E$46,1),1)))+1)-INDEX('Earth curves'!$E$2:$E$46,MAX(1,MIN(44,IFERROR(MATCH(W32,'Earth curves'!$E$2:$E$46,1),1))))))</f>
        <v/>
      </c>
      <c r="Y32" s="6">
        <f>(INDEX('Earth curves'!$G$2:$G$46,MAX(1,MIN(44,IFERROR(MATCH(W32,'Earth curves'!$E$2:$E$46,1),1))))+(W32-INDEX('Earth curves'!$E$2:$E$46,MAX(1,MIN(44,IFERROR(MATCH(W32,'Earth curves'!$E$2:$E$46,1),1)))))*(INDEX('Earth curves'!$G$2:$G$46,MAX(1,MIN(44,IFERROR(MATCH(W32,'Earth curves'!$E$2:$E$46,1),1)))+1)-INDEX('Earth curves'!$G$2:$G$46,MAX(1,MIN(44,IFERROR(MATCH(W32,'Earth curves'!$E$2:$E$46,1),1)))))/(INDEX('Earth curves'!$E$2:$E$46,MAX(1,MIN(44,IFERROR(MATCH(W32,'Earth curves'!$E$2:$E$46,1),1)))+1)-INDEX('Earth curves'!$E$2:$E$46,MAX(1,MIN(44,IFERROR(MATCH(W32,'Earth curves'!$E$2:$E$46,1),1))))))</f>
        <v/>
      </c>
      <c r="Z32" s="6">
        <f>(MIN(X32/Config!$B$9,1)+MIN(Y32/Config!$B$10,1))/2</f>
        <v/>
      </c>
      <c r="AA32" s="10">
        <f>ROUND(MIN(22,MAX(3,X32*W32/Z32)),1)</f>
        <v/>
      </c>
      <c r="AB32" s="11" t="n"/>
      <c r="AC32" s="10">
        <f>IF(AB32="",AA32,AB32)</f>
        <v/>
      </c>
      <c r="AD32" s="10">
        <f>ROUND(MIN(Config!$B$10,MAX(1,Y32*W32/Z32)),1)</f>
        <v/>
      </c>
      <c r="AE32" s="11" t="n"/>
      <c r="AF32" s="10">
        <f>IF(AE32="",AD32,AE32)</f>
        <v/>
      </c>
      <c r="AG32" s="9">
        <f>(V32-Config!$B$7)/(Config!$B$8-Config!$B$7)</f>
        <v/>
      </c>
      <c r="AH32" s="9">
        <f>(MIN(AC32/Config!$B$9,1)+MIN(AF32/Config!$B$10,1))/2</f>
        <v/>
      </c>
      <c r="AI32" s="12">
        <f>ROUND((AG32*AH32*G32)^(1/3),3)</f>
        <v/>
      </c>
      <c r="AJ32" s="12" t="n">
        <v>0.512</v>
      </c>
      <c r="AK32" s="13">
        <f>AI32-AJ32</f>
        <v/>
      </c>
      <c r="AL32" s="13">
        <f>AK32-AVERAGE($AK$2:$AK$173)</f>
        <v/>
      </c>
      <c r="AM32" s="6">
        <f>IF(ABS(AL32)&gt;Config!$B$11,"REVIEW","")</f>
        <v/>
      </c>
      <c r="AN32" s="14">
        <f>RANK(AI32,$AI$2:$AI$173)</f>
        <v/>
      </c>
      <c r="AO32" s="14">
        <f>RANK(AJ32,$AJ$2:$AJ$173)</f>
        <v/>
      </c>
      <c r="AP32" s="14" t="n">
        <v>32</v>
      </c>
    </row>
    <row r="33">
      <c r="A33" s="6" t="inlineStr">
        <is>
          <t>Eldjo</t>
        </is>
      </c>
      <c r="B33" s="6" t="inlineStr">
        <is>
          <t>Ayuma</t>
        </is>
      </c>
      <c r="C33" s="6" t="inlineStr">
        <is>
          <t>resource</t>
        </is>
      </c>
      <c r="D33" s="7" t="n">
        <v>110159</v>
      </c>
      <c r="E33" s="8">
        <f>D33*Config!$B$4</f>
        <v/>
      </c>
      <c r="F33" s="6">
        <f>LN(MAX(60,E33))</f>
        <v/>
      </c>
      <c r="G33" s="9">
        <f>MEDIAN(0,(F33-LN(Config!$B$5))/(LN(Config!$B$6)-LN(Config!$B$5)),1)</f>
        <v/>
      </c>
      <c r="H33" s="6">
        <f>MOD((Config!$B$2+$AP33*7919)*9301+49297,233280)/233280</f>
        <v/>
      </c>
      <c r="I33" s="6">
        <f>MOD((Config!$B$2+$AP33*104729)*4096+150889,714025)/714025</f>
        <v/>
      </c>
      <c r="J33" s="6">
        <f>MOD((Config!$B$2*31+$AP33*15485863)*1366+150889,714025)/714025</f>
        <v/>
      </c>
      <c r="K33" s="6" t="n">
        <v>0.003681</v>
      </c>
      <c r="L33" s="6" t="n">
        <v>0.068595</v>
      </c>
      <c r="M33" s="6">
        <f>COUNTIF(Siblings!$A$2:$A$84,B33)</f>
        <v/>
      </c>
      <c r="N33" s="6">
        <f>1+INT(J33*M33)</f>
        <v/>
      </c>
      <c r="O33" s="6">
        <f>IF(K33&lt;&gt;"",K33,IFERROR(INDEX(Siblings!$D$2:$D$84,MATCH(B33&amp;"|"&amp;N33,Siblings!$F$2:$F$84,0)),0))</f>
        <v/>
      </c>
      <c r="P33" s="6">
        <f>IF(L33&lt;&gt;"",L33,IFERROR(INDEX(Siblings!$E$2:$E$84,MATCH(B33&amp;"|"&amp;N33,Siblings!$F$2:$F$84,0)),0))</f>
        <v/>
      </c>
      <c r="Q33" s="6">
        <f>(INDEX('Earth curves'!$B$2:$B$46,MAX(1,MIN(44,IFERROR(MATCH(F33,'Earth curves'!$A$2:$A$46,1),1))))+(F33-INDEX('Earth curves'!$A$2:$A$46,MAX(1,MIN(44,IFERROR(MATCH(F33,'Earth curves'!$A$2:$A$46,1),1)))))*(INDEX('Earth curves'!$B$2:$B$46,MAX(1,MIN(44,IFERROR(MATCH(F33,'Earth curves'!$A$2:$A$46,1),1)))+1)-INDEX('Earth curves'!$B$2:$B$46,MAX(1,MIN(44,IFERROR(MATCH(F33,'Earth curves'!$A$2:$A$46,1),1)))))/(INDEX('Earth curves'!$A$2:$A$46,MAX(1,MIN(44,IFERROR(MATCH(F33,'Earth curves'!$A$2:$A$46,1),1)))+1)-INDEX('Earth curves'!$A$2:$A$46,MAX(1,MIN(44,IFERROR(MATCH(F33,'Earth curves'!$A$2:$A$46,1),1))))))</f>
        <v/>
      </c>
      <c r="R33" s="6">
        <f>(INDEX('Earth curves'!$C$2:$C$46,MAX(1,MIN(44,IFERROR(MATCH(F33,'Earth curves'!$A$2:$A$46,1),1))))+(F33-INDEX('Earth curves'!$A$2:$A$46,MAX(1,MIN(44,IFERROR(MATCH(F33,'Earth curves'!$A$2:$A$46,1),1)))))*(INDEX('Earth curves'!$C$2:$C$46,MAX(1,MIN(44,IFERROR(MATCH(F33,'Earth curves'!$A$2:$A$46,1),1)))+1)-INDEX('Earth curves'!$C$2:$C$46,MAX(1,MIN(44,IFERROR(MATCH(F33,'Earth curves'!$A$2:$A$46,1),1)))))/(INDEX('Earth curves'!$A$2:$A$46,MAX(1,MIN(44,IFERROR(MATCH(F33,'Earth curves'!$A$2:$A$46,1),1)))+1)-INDEX('Earth curves'!$A$2:$A$46,MAX(1,MIN(44,IFERROR(MATCH(F33,'Earth curves'!$A$2:$A$46,1),1))))))</f>
        <v/>
      </c>
      <c r="S33" s="6">
        <f>MEDIAN(0.307692,Q33+MEDIAN(-0.350583,O33+NORMSINV(H33)*0.064828*Config!$B$3,0.120277),0.993846)</f>
        <v/>
      </c>
      <c r="T33" s="10">
        <f>ROUND(Config!$B$7+(Config!$B$8-Config!$B$7)*S33,1)</f>
        <v/>
      </c>
      <c r="U33" s="11" t="n"/>
      <c r="V33" s="10">
        <f>IF(U33="",T33,U33)</f>
        <v/>
      </c>
      <c r="W33" s="6">
        <f>MEDIAN(0.05,R33+MEDIAN(-0.302219,P33+NORMSINV(I33)*0.089531*Config!$B$3,0.274961),0.999)</f>
        <v/>
      </c>
      <c r="X33" s="6">
        <f>(INDEX('Earth curves'!$F$2:$F$46,MAX(1,MIN(44,IFERROR(MATCH(W33,'Earth curves'!$E$2:$E$46,1),1))))+(W33-INDEX('Earth curves'!$E$2:$E$46,MAX(1,MIN(44,IFERROR(MATCH(W33,'Earth curves'!$E$2:$E$46,1),1)))))*(INDEX('Earth curves'!$F$2:$F$46,MAX(1,MIN(44,IFERROR(MATCH(W33,'Earth curves'!$E$2:$E$46,1),1)))+1)-INDEX('Earth curves'!$F$2:$F$46,MAX(1,MIN(44,IFERROR(MATCH(W33,'Earth curves'!$E$2:$E$46,1),1)))))/(INDEX('Earth curves'!$E$2:$E$46,MAX(1,MIN(44,IFERROR(MATCH(W33,'Earth curves'!$E$2:$E$46,1),1)))+1)-INDEX('Earth curves'!$E$2:$E$46,MAX(1,MIN(44,IFERROR(MATCH(W33,'Earth curves'!$E$2:$E$46,1),1))))))</f>
        <v/>
      </c>
      <c r="Y33" s="6">
        <f>(INDEX('Earth curves'!$G$2:$G$46,MAX(1,MIN(44,IFERROR(MATCH(W33,'Earth curves'!$E$2:$E$46,1),1))))+(W33-INDEX('Earth curves'!$E$2:$E$46,MAX(1,MIN(44,IFERROR(MATCH(W33,'Earth curves'!$E$2:$E$46,1),1)))))*(INDEX('Earth curves'!$G$2:$G$46,MAX(1,MIN(44,IFERROR(MATCH(W33,'Earth curves'!$E$2:$E$46,1),1)))+1)-INDEX('Earth curves'!$G$2:$G$46,MAX(1,MIN(44,IFERROR(MATCH(W33,'Earth curves'!$E$2:$E$46,1),1)))))/(INDEX('Earth curves'!$E$2:$E$46,MAX(1,MIN(44,IFERROR(MATCH(W33,'Earth curves'!$E$2:$E$46,1),1)))+1)-INDEX('Earth curves'!$E$2:$E$46,MAX(1,MIN(44,IFERROR(MATCH(W33,'Earth curves'!$E$2:$E$46,1),1))))))</f>
        <v/>
      </c>
      <c r="Z33" s="6">
        <f>(MIN(X33/Config!$B$9,1)+MIN(Y33/Config!$B$10,1))/2</f>
        <v/>
      </c>
      <c r="AA33" s="10">
        <f>ROUND(MIN(22,MAX(3,X33*W33/Z33)),1)</f>
        <v/>
      </c>
      <c r="AB33" s="11" t="n"/>
      <c r="AC33" s="10">
        <f>IF(AB33="",AA33,AB33)</f>
        <v/>
      </c>
      <c r="AD33" s="10">
        <f>ROUND(MIN(Config!$B$10,MAX(1,Y33*W33/Z33)),1)</f>
        <v/>
      </c>
      <c r="AE33" s="11" t="n"/>
      <c r="AF33" s="10">
        <f>IF(AE33="",AD33,AE33)</f>
        <v/>
      </c>
      <c r="AG33" s="9">
        <f>(V33-Config!$B$7)/(Config!$B$8-Config!$B$7)</f>
        <v/>
      </c>
      <c r="AH33" s="9">
        <f>(MIN(AC33/Config!$B$9,1)+MIN(AF33/Config!$B$10,1))/2</f>
        <v/>
      </c>
      <c r="AI33" s="12">
        <f>ROUND((AG33*AH33*G33)^(1/3),3)</f>
        <v/>
      </c>
      <c r="AJ33" s="12" t="n">
        <v>0.86</v>
      </c>
      <c r="AK33" s="13">
        <f>AI33-AJ33</f>
        <v/>
      </c>
      <c r="AL33" s="13">
        <f>AK33-AVERAGE($AK$2:$AK$173)</f>
        <v/>
      </c>
      <c r="AM33" s="6">
        <f>IF(ABS(AL33)&gt;Config!$B$11,"REVIEW","")</f>
        <v/>
      </c>
      <c r="AN33" s="14">
        <f>RANK(AI33,$AI$2:$AI$173)</f>
        <v/>
      </c>
      <c r="AO33" s="14">
        <f>RANK(AJ33,$AJ$2:$AJ$173)</f>
        <v/>
      </c>
      <c r="AP33" s="14" t="n">
        <v>33</v>
      </c>
    </row>
    <row r="34">
      <c r="A34" s="6" t="inlineStr">
        <is>
          <t>Elja and Munusia</t>
        </is>
      </c>
      <c r="B34" s="6" t="inlineStr">
        <is>
          <t>New Ayre</t>
        </is>
      </c>
      <c r="C34" s="6" t="inlineStr">
        <is>
          <t>—</t>
        </is>
      </c>
      <c r="D34" s="7" t="n">
        <v>18095</v>
      </c>
      <c r="E34" s="8">
        <f>D34*Config!$B$4</f>
        <v/>
      </c>
      <c r="F34" s="6">
        <f>LN(MAX(60,E34))</f>
        <v/>
      </c>
      <c r="G34" s="9">
        <f>MEDIAN(0,(F34-LN(Config!$B$5))/(LN(Config!$B$6)-LN(Config!$B$5)),1)</f>
        <v/>
      </c>
      <c r="H34" s="6">
        <f>MOD((Config!$B$2+$AP34*7919)*9301+49297,233280)/233280</f>
        <v/>
      </c>
      <c r="I34" s="6">
        <f>MOD((Config!$B$2+$AP34*104729)*4096+150889,714025)/714025</f>
        <v/>
      </c>
      <c r="J34" s="6">
        <f>MOD((Config!$B$2*31+$AP34*15485863)*1366+150889,714025)/714025</f>
        <v/>
      </c>
      <c r="K34" s="6" t="n"/>
      <c r="L34" s="6" t="n"/>
      <c r="M34" s="6">
        <f>COUNTIF(Siblings!$A$2:$A$84,B34)</f>
        <v/>
      </c>
      <c r="N34" s="6">
        <f>1+INT(J34*M34)</f>
        <v/>
      </c>
      <c r="O34" s="6">
        <f>IF(K34&lt;&gt;"",K34,IFERROR(INDEX(Siblings!$D$2:$D$84,MATCH(B34&amp;"|"&amp;N34,Siblings!$F$2:$F$84,0)),0))</f>
        <v/>
      </c>
      <c r="P34" s="6">
        <f>IF(L34&lt;&gt;"",L34,IFERROR(INDEX(Siblings!$E$2:$E$84,MATCH(B34&amp;"|"&amp;N34,Siblings!$F$2:$F$84,0)),0))</f>
        <v/>
      </c>
      <c r="Q34" s="6">
        <f>(INDEX('Earth curves'!$B$2:$B$46,MAX(1,MIN(44,IFERROR(MATCH(F34,'Earth curves'!$A$2:$A$46,1),1))))+(F34-INDEX('Earth curves'!$A$2:$A$46,MAX(1,MIN(44,IFERROR(MATCH(F34,'Earth curves'!$A$2:$A$46,1),1)))))*(INDEX('Earth curves'!$B$2:$B$46,MAX(1,MIN(44,IFERROR(MATCH(F34,'Earth curves'!$A$2:$A$46,1),1)))+1)-INDEX('Earth curves'!$B$2:$B$46,MAX(1,MIN(44,IFERROR(MATCH(F34,'Earth curves'!$A$2:$A$46,1),1)))))/(INDEX('Earth curves'!$A$2:$A$46,MAX(1,MIN(44,IFERROR(MATCH(F34,'Earth curves'!$A$2:$A$46,1),1)))+1)-INDEX('Earth curves'!$A$2:$A$46,MAX(1,MIN(44,IFERROR(MATCH(F34,'Earth curves'!$A$2:$A$46,1),1))))))</f>
        <v/>
      </c>
      <c r="R34" s="6">
        <f>(INDEX('Earth curves'!$C$2:$C$46,MAX(1,MIN(44,IFERROR(MATCH(F34,'Earth curves'!$A$2:$A$46,1),1))))+(F34-INDEX('Earth curves'!$A$2:$A$46,MAX(1,MIN(44,IFERROR(MATCH(F34,'Earth curves'!$A$2:$A$46,1),1)))))*(INDEX('Earth curves'!$C$2:$C$46,MAX(1,MIN(44,IFERROR(MATCH(F34,'Earth curves'!$A$2:$A$46,1),1)))+1)-INDEX('Earth curves'!$C$2:$C$46,MAX(1,MIN(44,IFERROR(MATCH(F34,'Earth curves'!$A$2:$A$46,1),1)))))/(INDEX('Earth curves'!$A$2:$A$46,MAX(1,MIN(44,IFERROR(MATCH(F34,'Earth curves'!$A$2:$A$46,1),1)))+1)-INDEX('Earth curves'!$A$2:$A$46,MAX(1,MIN(44,IFERROR(MATCH(F34,'Earth curves'!$A$2:$A$46,1),1))))))</f>
        <v/>
      </c>
      <c r="S34" s="6">
        <f>MEDIAN(0.307692,Q34+MEDIAN(-0.350583,O34+NORMSINV(H34)*0.064828*Config!$B$3,0.120277),0.993846)</f>
        <v/>
      </c>
      <c r="T34" s="10">
        <f>ROUND(Config!$B$7+(Config!$B$8-Config!$B$7)*S34,1)</f>
        <v/>
      </c>
      <c r="U34" s="11" t="n"/>
      <c r="V34" s="10">
        <f>IF(U34="",T34,U34)</f>
        <v/>
      </c>
      <c r="W34" s="6">
        <f>MEDIAN(0.05,R34+MEDIAN(-0.302219,P34+NORMSINV(I34)*0.089531*Config!$B$3,0.274961),0.999)</f>
        <v/>
      </c>
      <c r="X34" s="6">
        <f>(INDEX('Earth curves'!$F$2:$F$46,MAX(1,MIN(44,IFERROR(MATCH(W34,'Earth curves'!$E$2:$E$46,1),1))))+(W34-INDEX('Earth curves'!$E$2:$E$46,MAX(1,MIN(44,IFERROR(MATCH(W34,'Earth curves'!$E$2:$E$46,1),1)))))*(INDEX('Earth curves'!$F$2:$F$46,MAX(1,MIN(44,IFERROR(MATCH(W34,'Earth curves'!$E$2:$E$46,1),1)))+1)-INDEX('Earth curves'!$F$2:$F$46,MAX(1,MIN(44,IFERROR(MATCH(W34,'Earth curves'!$E$2:$E$46,1),1)))))/(INDEX('Earth curves'!$E$2:$E$46,MAX(1,MIN(44,IFERROR(MATCH(W34,'Earth curves'!$E$2:$E$46,1),1)))+1)-INDEX('Earth curves'!$E$2:$E$46,MAX(1,MIN(44,IFERROR(MATCH(W34,'Earth curves'!$E$2:$E$46,1),1))))))</f>
        <v/>
      </c>
      <c r="Y34" s="6">
        <f>(INDEX('Earth curves'!$G$2:$G$46,MAX(1,MIN(44,IFERROR(MATCH(W34,'Earth curves'!$E$2:$E$46,1),1))))+(W34-INDEX('Earth curves'!$E$2:$E$46,MAX(1,MIN(44,IFERROR(MATCH(W34,'Earth curves'!$E$2:$E$46,1),1)))))*(INDEX('Earth curves'!$G$2:$G$46,MAX(1,MIN(44,IFERROR(MATCH(W34,'Earth curves'!$E$2:$E$46,1),1)))+1)-INDEX('Earth curves'!$G$2:$G$46,MAX(1,MIN(44,IFERROR(MATCH(W34,'Earth curves'!$E$2:$E$46,1),1)))))/(INDEX('Earth curves'!$E$2:$E$46,MAX(1,MIN(44,IFERROR(MATCH(W34,'Earth curves'!$E$2:$E$46,1),1)))+1)-INDEX('Earth curves'!$E$2:$E$46,MAX(1,MIN(44,IFERROR(MATCH(W34,'Earth curves'!$E$2:$E$46,1),1))))))</f>
        <v/>
      </c>
      <c r="Z34" s="6">
        <f>(MIN(X34/Config!$B$9,1)+MIN(Y34/Config!$B$10,1))/2</f>
        <v/>
      </c>
      <c r="AA34" s="10">
        <f>ROUND(MIN(22,MAX(3,X34*W34/Z34)),1)</f>
        <v/>
      </c>
      <c r="AB34" s="11" t="n"/>
      <c r="AC34" s="10">
        <f>IF(AB34="",AA34,AB34)</f>
        <v/>
      </c>
      <c r="AD34" s="10">
        <f>ROUND(MIN(Config!$B$10,MAX(1,Y34*W34/Z34)),1)</f>
        <v/>
      </c>
      <c r="AE34" s="11" t="n"/>
      <c r="AF34" s="10">
        <f>IF(AE34="",AD34,AE34)</f>
        <v/>
      </c>
      <c r="AG34" s="9">
        <f>(V34-Config!$B$7)/(Config!$B$8-Config!$B$7)</f>
        <v/>
      </c>
      <c r="AH34" s="9">
        <f>(MIN(AC34/Config!$B$9,1)+MIN(AF34/Config!$B$10,1))/2</f>
        <v/>
      </c>
      <c r="AI34" s="12">
        <f>ROUND((AG34*AH34*G34)^(1/3),3)</f>
        <v/>
      </c>
      <c r="AJ34" s="12" t="n">
        <v>0.698</v>
      </c>
      <c r="AK34" s="13">
        <f>AI34-AJ34</f>
        <v/>
      </c>
      <c r="AL34" s="13">
        <f>AK34-AVERAGE($AK$2:$AK$173)</f>
        <v/>
      </c>
      <c r="AM34" s="6">
        <f>IF(ABS(AL34)&gt;Config!$B$11,"REVIEW","")</f>
        <v/>
      </c>
      <c r="AN34" s="14">
        <f>RANK(AI34,$AI$2:$AI$173)</f>
        <v/>
      </c>
      <c r="AO34" s="14">
        <f>RANK(AJ34,$AJ$2:$AJ$173)</f>
        <v/>
      </c>
      <c r="AP34" s="14" t="n">
        <v>34</v>
      </c>
    </row>
    <row r="35">
      <c r="A35" s="6" t="inlineStr">
        <is>
          <t>Emara</t>
        </is>
      </c>
      <c r="B35" s="6" t="inlineStr">
        <is>
          <t>Ayuma</t>
        </is>
      </c>
      <c r="C35" s="6" t="inlineStr">
        <is>
          <t>resource, tradehub, university</t>
        </is>
      </c>
      <c r="D35" s="7" t="n">
        <v>185714</v>
      </c>
      <c r="E35" s="8">
        <f>D35*Config!$B$4</f>
        <v/>
      </c>
      <c r="F35" s="6">
        <f>LN(MAX(60,E35))</f>
        <v/>
      </c>
      <c r="G35" s="9">
        <f>MEDIAN(0,(F35-LN(Config!$B$5))/(LN(Config!$B$6)-LN(Config!$B$5)),1)</f>
        <v/>
      </c>
      <c r="H35" s="6">
        <f>MOD((Config!$B$2+$AP35*7919)*9301+49297,233280)/233280</f>
        <v/>
      </c>
      <c r="I35" s="6">
        <f>MOD((Config!$B$2+$AP35*104729)*4096+150889,714025)/714025</f>
        <v/>
      </c>
      <c r="J35" s="6">
        <f>MOD((Config!$B$2*31+$AP35*15485863)*1366+150889,714025)/714025</f>
        <v/>
      </c>
      <c r="K35" s="6" t="n"/>
      <c r="L35" s="6" t="n"/>
      <c r="M35" s="6">
        <f>COUNTIF(Siblings!$A$2:$A$84,B35)</f>
        <v/>
      </c>
      <c r="N35" s="6">
        <f>1+INT(J35*M35)</f>
        <v/>
      </c>
      <c r="O35" s="6">
        <f>IF(K35&lt;&gt;"",K35,IFERROR(INDEX(Siblings!$D$2:$D$84,MATCH(B35&amp;"|"&amp;N35,Siblings!$F$2:$F$84,0)),0))</f>
        <v/>
      </c>
      <c r="P35" s="6">
        <f>IF(L35&lt;&gt;"",L35,IFERROR(INDEX(Siblings!$E$2:$E$84,MATCH(B35&amp;"|"&amp;N35,Siblings!$F$2:$F$84,0)),0))</f>
        <v/>
      </c>
      <c r="Q35" s="6">
        <f>(INDEX('Earth curves'!$B$2:$B$46,MAX(1,MIN(44,IFERROR(MATCH(F35,'Earth curves'!$A$2:$A$46,1),1))))+(F35-INDEX('Earth curves'!$A$2:$A$46,MAX(1,MIN(44,IFERROR(MATCH(F35,'Earth curves'!$A$2:$A$46,1),1)))))*(INDEX('Earth curves'!$B$2:$B$46,MAX(1,MIN(44,IFERROR(MATCH(F35,'Earth curves'!$A$2:$A$46,1),1)))+1)-INDEX('Earth curves'!$B$2:$B$46,MAX(1,MIN(44,IFERROR(MATCH(F35,'Earth curves'!$A$2:$A$46,1),1)))))/(INDEX('Earth curves'!$A$2:$A$46,MAX(1,MIN(44,IFERROR(MATCH(F35,'Earth curves'!$A$2:$A$46,1),1)))+1)-INDEX('Earth curves'!$A$2:$A$46,MAX(1,MIN(44,IFERROR(MATCH(F35,'Earth curves'!$A$2:$A$46,1),1))))))</f>
        <v/>
      </c>
      <c r="R35" s="6">
        <f>(INDEX('Earth curves'!$C$2:$C$46,MAX(1,MIN(44,IFERROR(MATCH(F35,'Earth curves'!$A$2:$A$46,1),1))))+(F35-INDEX('Earth curves'!$A$2:$A$46,MAX(1,MIN(44,IFERROR(MATCH(F35,'Earth curves'!$A$2:$A$46,1),1)))))*(INDEX('Earth curves'!$C$2:$C$46,MAX(1,MIN(44,IFERROR(MATCH(F35,'Earth curves'!$A$2:$A$46,1),1)))+1)-INDEX('Earth curves'!$C$2:$C$46,MAX(1,MIN(44,IFERROR(MATCH(F35,'Earth curves'!$A$2:$A$46,1),1)))))/(INDEX('Earth curves'!$A$2:$A$46,MAX(1,MIN(44,IFERROR(MATCH(F35,'Earth curves'!$A$2:$A$46,1),1)))+1)-INDEX('Earth curves'!$A$2:$A$46,MAX(1,MIN(44,IFERROR(MATCH(F35,'Earth curves'!$A$2:$A$46,1),1))))))</f>
        <v/>
      </c>
      <c r="S35" s="6">
        <f>MEDIAN(0.307692,Q35+MEDIAN(-0.350583,O35+NORMSINV(H35)*0.064828*Config!$B$3,0.120277),0.993846)</f>
        <v/>
      </c>
      <c r="T35" s="10">
        <f>ROUND(Config!$B$7+(Config!$B$8-Config!$B$7)*S35,1)</f>
        <v/>
      </c>
      <c r="U35" s="11" t="n"/>
      <c r="V35" s="10">
        <f>IF(U35="",T35,U35)</f>
        <v/>
      </c>
      <c r="W35" s="6">
        <f>MEDIAN(0.05,R35+MEDIAN(-0.302219,P35+NORMSINV(I35)*0.089531*Config!$B$3,0.274961),0.999)</f>
        <v/>
      </c>
      <c r="X35" s="6">
        <f>(INDEX('Earth curves'!$F$2:$F$46,MAX(1,MIN(44,IFERROR(MATCH(W35,'Earth curves'!$E$2:$E$46,1),1))))+(W35-INDEX('Earth curves'!$E$2:$E$46,MAX(1,MIN(44,IFERROR(MATCH(W35,'Earth curves'!$E$2:$E$46,1),1)))))*(INDEX('Earth curves'!$F$2:$F$46,MAX(1,MIN(44,IFERROR(MATCH(W35,'Earth curves'!$E$2:$E$46,1),1)))+1)-INDEX('Earth curves'!$F$2:$F$46,MAX(1,MIN(44,IFERROR(MATCH(W35,'Earth curves'!$E$2:$E$46,1),1)))))/(INDEX('Earth curves'!$E$2:$E$46,MAX(1,MIN(44,IFERROR(MATCH(W35,'Earth curves'!$E$2:$E$46,1),1)))+1)-INDEX('Earth curves'!$E$2:$E$46,MAX(1,MIN(44,IFERROR(MATCH(W35,'Earth curves'!$E$2:$E$46,1),1))))))</f>
        <v/>
      </c>
      <c r="Y35" s="6">
        <f>(INDEX('Earth curves'!$G$2:$G$46,MAX(1,MIN(44,IFERROR(MATCH(W35,'Earth curves'!$E$2:$E$46,1),1))))+(W35-INDEX('Earth curves'!$E$2:$E$46,MAX(1,MIN(44,IFERROR(MATCH(W35,'Earth curves'!$E$2:$E$46,1),1)))))*(INDEX('Earth curves'!$G$2:$G$46,MAX(1,MIN(44,IFERROR(MATCH(W35,'Earth curves'!$E$2:$E$46,1),1)))+1)-INDEX('Earth curves'!$G$2:$G$46,MAX(1,MIN(44,IFERROR(MATCH(W35,'Earth curves'!$E$2:$E$46,1),1)))))/(INDEX('Earth curves'!$E$2:$E$46,MAX(1,MIN(44,IFERROR(MATCH(W35,'Earth curves'!$E$2:$E$46,1),1)))+1)-INDEX('Earth curves'!$E$2:$E$46,MAX(1,MIN(44,IFERROR(MATCH(W35,'Earth curves'!$E$2:$E$46,1),1))))))</f>
        <v/>
      </c>
      <c r="Z35" s="6">
        <f>(MIN(X35/Config!$B$9,1)+MIN(Y35/Config!$B$10,1))/2</f>
        <v/>
      </c>
      <c r="AA35" s="10">
        <f>ROUND(MIN(22,MAX(3,X35*W35/Z35)),1)</f>
        <v/>
      </c>
      <c r="AB35" s="11" t="n"/>
      <c r="AC35" s="10">
        <f>IF(AB35="",AA35,AB35)</f>
        <v/>
      </c>
      <c r="AD35" s="10">
        <f>ROUND(MIN(Config!$B$10,MAX(1,Y35*W35/Z35)),1)</f>
        <v/>
      </c>
      <c r="AE35" s="11" t="n"/>
      <c r="AF35" s="10">
        <f>IF(AE35="",AD35,AE35)</f>
        <v/>
      </c>
      <c r="AG35" s="9">
        <f>(V35-Config!$B$7)/(Config!$B$8-Config!$B$7)</f>
        <v/>
      </c>
      <c r="AH35" s="9">
        <f>(MIN(AC35/Config!$B$9,1)+MIN(AF35/Config!$B$10,1))/2</f>
        <v/>
      </c>
      <c r="AI35" s="12">
        <f>ROUND((AG35*AH35*G35)^(1/3),3)</f>
        <v/>
      </c>
      <c r="AJ35" s="12" t="n">
        <v>0.945</v>
      </c>
      <c r="AK35" s="13">
        <f>AI35-AJ35</f>
        <v/>
      </c>
      <c r="AL35" s="13">
        <f>AK35-AVERAGE($AK$2:$AK$173)</f>
        <v/>
      </c>
      <c r="AM35" s="6">
        <f>IF(ABS(AL35)&gt;Config!$B$11,"REVIEW","")</f>
        <v/>
      </c>
      <c r="AN35" s="14">
        <f>RANK(AI35,$AI$2:$AI$173)</f>
        <v/>
      </c>
      <c r="AO35" s="14">
        <f>RANK(AJ35,$AJ$2:$AJ$173)</f>
        <v/>
      </c>
      <c r="AP35" s="14" t="n">
        <v>35</v>
      </c>
    </row>
    <row r="36">
      <c r="A36" s="6" t="inlineStr">
        <is>
          <t>Enina</t>
        </is>
      </c>
      <c r="B36" s="6" t="inlineStr">
        <is>
          <t>Acrola</t>
        </is>
      </c>
      <c r="C36" s="6" t="inlineStr">
        <is>
          <t>microstate</t>
        </is>
      </c>
      <c r="D36" s="7" t="n">
        <v>39048</v>
      </c>
      <c r="E36" s="8">
        <f>D36*Config!$B$4</f>
        <v/>
      </c>
      <c r="F36" s="6">
        <f>LN(MAX(60,E36))</f>
        <v/>
      </c>
      <c r="G36" s="9">
        <f>MEDIAN(0,(F36-LN(Config!$B$5))/(LN(Config!$B$6)-LN(Config!$B$5)),1)</f>
        <v/>
      </c>
      <c r="H36" s="6">
        <f>MOD((Config!$B$2+$AP36*7919)*9301+49297,233280)/233280</f>
        <v/>
      </c>
      <c r="I36" s="6">
        <f>MOD((Config!$B$2+$AP36*104729)*4096+150889,714025)/714025</f>
        <v/>
      </c>
      <c r="J36" s="6">
        <f>MOD((Config!$B$2*31+$AP36*15485863)*1366+150889,714025)/714025</f>
        <v/>
      </c>
      <c r="K36" s="6" t="n"/>
      <c r="L36" s="6" t="n"/>
      <c r="M36" s="6">
        <f>COUNTIF(Siblings!$A$2:$A$84,B36)</f>
        <v/>
      </c>
      <c r="N36" s="6">
        <f>1+INT(J36*M36)</f>
        <v/>
      </c>
      <c r="O36" s="6">
        <f>IF(K36&lt;&gt;"",K36,IFERROR(INDEX(Siblings!$D$2:$D$84,MATCH(B36&amp;"|"&amp;N36,Siblings!$F$2:$F$84,0)),0))</f>
        <v/>
      </c>
      <c r="P36" s="6">
        <f>IF(L36&lt;&gt;"",L36,IFERROR(INDEX(Siblings!$E$2:$E$84,MATCH(B36&amp;"|"&amp;N36,Siblings!$F$2:$F$84,0)),0))</f>
        <v/>
      </c>
      <c r="Q36" s="6">
        <f>(INDEX('Earth curves'!$B$2:$B$46,MAX(1,MIN(44,IFERROR(MATCH(F36,'Earth curves'!$A$2:$A$46,1),1))))+(F36-INDEX('Earth curves'!$A$2:$A$46,MAX(1,MIN(44,IFERROR(MATCH(F36,'Earth curves'!$A$2:$A$46,1),1)))))*(INDEX('Earth curves'!$B$2:$B$46,MAX(1,MIN(44,IFERROR(MATCH(F36,'Earth curves'!$A$2:$A$46,1),1)))+1)-INDEX('Earth curves'!$B$2:$B$46,MAX(1,MIN(44,IFERROR(MATCH(F36,'Earth curves'!$A$2:$A$46,1),1)))))/(INDEX('Earth curves'!$A$2:$A$46,MAX(1,MIN(44,IFERROR(MATCH(F36,'Earth curves'!$A$2:$A$46,1),1)))+1)-INDEX('Earth curves'!$A$2:$A$46,MAX(1,MIN(44,IFERROR(MATCH(F36,'Earth curves'!$A$2:$A$46,1),1))))))</f>
        <v/>
      </c>
      <c r="R36" s="6">
        <f>(INDEX('Earth curves'!$C$2:$C$46,MAX(1,MIN(44,IFERROR(MATCH(F36,'Earth curves'!$A$2:$A$46,1),1))))+(F36-INDEX('Earth curves'!$A$2:$A$46,MAX(1,MIN(44,IFERROR(MATCH(F36,'Earth curves'!$A$2:$A$46,1),1)))))*(INDEX('Earth curves'!$C$2:$C$46,MAX(1,MIN(44,IFERROR(MATCH(F36,'Earth curves'!$A$2:$A$46,1),1)))+1)-INDEX('Earth curves'!$C$2:$C$46,MAX(1,MIN(44,IFERROR(MATCH(F36,'Earth curves'!$A$2:$A$46,1),1)))))/(INDEX('Earth curves'!$A$2:$A$46,MAX(1,MIN(44,IFERROR(MATCH(F36,'Earth curves'!$A$2:$A$46,1),1)))+1)-INDEX('Earth curves'!$A$2:$A$46,MAX(1,MIN(44,IFERROR(MATCH(F36,'Earth curves'!$A$2:$A$46,1),1))))))</f>
        <v/>
      </c>
      <c r="S36" s="6">
        <f>MEDIAN(0.307692,Q36+MEDIAN(-0.350583,O36+NORMSINV(H36)*0.064828*Config!$B$3,0.120277),0.993846)</f>
        <v/>
      </c>
      <c r="T36" s="10">
        <f>ROUND(Config!$B$7+(Config!$B$8-Config!$B$7)*S36,1)</f>
        <v/>
      </c>
      <c r="U36" s="11" t="n"/>
      <c r="V36" s="10">
        <f>IF(U36="",T36,U36)</f>
        <v/>
      </c>
      <c r="W36" s="6">
        <f>MEDIAN(0.05,R36+MEDIAN(-0.302219,P36+NORMSINV(I36)*0.089531*Config!$B$3,0.274961),0.999)</f>
        <v/>
      </c>
      <c r="X36" s="6">
        <f>(INDEX('Earth curves'!$F$2:$F$46,MAX(1,MIN(44,IFERROR(MATCH(W36,'Earth curves'!$E$2:$E$46,1),1))))+(W36-INDEX('Earth curves'!$E$2:$E$46,MAX(1,MIN(44,IFERROR(MATCH(W36,'Earth curves'!$E$2:$E$46,1),1)))))*(INDEX('Earth curves'!$F$2:$F$46,MAX(1,MIN(44,IFERROR(MATCH(W36,'Earth curves'!$E$2:$E$46,1),1)))+1)-INDEX('Earth curves'!$F$2:$F$46,MAX(1,MIN(44,IFERROR(MATCH(W36,'Earth curves'!$E$2:$E$46,1),1)))))/(INDEX('Earth curves'!$E$2:$E$46,MAX(1,MIN(44,IFERROR(MATCH(W36,'Earth curves'!$E$2:$E$46,1),1)))+1)-INDEX('Earth curves'!$E$2:$E$46,MAX(1,MIN(44,IFERROR(MATCH(W36,'Earth curves'!$E$2:$E$46,1),1))))))</f>
        <v/>
      </c>
      <c r="Y36" s="6">
        <f>(INDEX('Earth curves'!$G$2:$G$46,MAX(1,MIN(44,IFERROR(MATCH(W36,'Earth curves'!$E$2:$E$46,1),1))))+(W36-INDEX('Earth curves'!$E$2:$E$46,MAX(1,MIN(44,IFERROR(MATCH(W36,'Earth curves'!$E$2:$E$46,1),1)))))*(INDEX('Earth curves'!$G$2:$G$46,MAX(1,MIN(44,IFERROR(MATCH(W36,'Earth curves'!$E$2:$E$46,1),1)))+1)-INDEX('Earth curves'!$G$2:$G$46,MAX(1,MIN(44,IFERROR(MATCH(W36,'Earth curves'!$E$2:$E$46,1),1)))))/(INDEX('Earth curves'!$E$2:$E$46,MAX(1,MIN(44,IFERROR(MATCH(W36,'Earth curves'!$E$2:$E$46,1),1)))+1)-INDEX('Earth curves'!$E$2:$E$46,MAX(1,MIN(44,IFERROR(MATCH(W36,'Earth curves'!$E$2:$E$46,1),1))))))</f>
        <v/>
      </c>
      <c r="Z36" s="6">
        <f>(MIN(X36/Config!$B$9,1)+MIN(Y36/Config!$B$10,1))/2</f>
        <v/>
      </c>
      <c r="AA36" s="10">
        <f>ROUND(MIN(22,MAX(3,X36*W36/Z36)),1)</f>
        <v/>
      </c>
      <c r="AB36" s="11" t="n"/>
      <c r="AC36" s="10">
        <f>IF(AB36="",AA36,AB36)</f>
        <v/>
      </c>
      <c r="AD36" s="10">
        <f>ROUND(MIN(Config!$B$10,MAX(1,Y36*W36/Z36)),1)</f>
        <v/>
      </c>
      <c r="AE36" s="11" t="n"/>
      <c r="AF36" s="10">
        <f>IF(AE36="",AD36,AE36)</f>
        <v/>
      </c>
      <c r="AG36" s="9">
        <f>(V36-Config!$B$7)/(Config!$B$8-Config!$B$7)</f>
        <v/>
      </c>
      <c r="AH36" s="9">
        <f>(MIN(AC36/Config!$B$9,1)+MIN(AF36/Config!$B$10,1))/2</f>
        <v/>
      </c>
      <c r="AI36" s="12">
        <f>ROUND((AG36*AH36*G36)^(1/3),3)</f>
        <v/>
      </c>
      <c r="AJ36" s="12" t="n">
        <v>0.759</v>
      </c>
      <c r="AK36" s="13">
        <f>AI36-AJ36</f>
        <v/>
      </c>
      <c r="AL36" s="13">
        <f>AK36-AVERAGE($AK$2:$AK$173)</f>
        <v/>
      </c>
      <c r="AM36" s="6">
        <f>IF(ABS(AL36)&gt;Config!$B$11,"REVIEW","")</f>
        <v/>
      </c>
      <c r="AN36" s="14">
        <f>RANK(AI36,$AI$2:$AI$173)</f>
        <v/>
      </c>
      <c r="AO36" s="14">
        <f>RANK(AJ36,$AJ$2:$AJ$173)</f>
        <v/>
      </c>
      <c r="AP36" s="14" t="n">
        <v>36</v>
      </c>
    </row>
    <row r="37">
      <c r="A37" s="6" t="inlineStr">
        <is>
          <t>Eparia</t>
        </is>
      </c>
      <c r="B37" s="6" t="inlineStr">
        <is>
          <t>Massir</t>
        </is>
      </c>
      <c r="C37" s="6" t="inlineStr">
        <is>
          <t>militarised</t>
        </is>
      </c>
      <c r="D37" s="7" t="n">
        <v>16889</v>
      </c>
      <c r="E37" s="8">
        <f>D37*Config!$B$4</f>
        <v/>
      </c>
      <c r="F37" s="6">
        <f>LN(MAX(60,E37))</f>
        <v/>
      </c>
      <c r="G37" s="9">
        <f>MEDIAN(0,(F37-LN(Config!$B$5))/(LN(Config!$B$6)-LN(Config!$B$5)),1)</f>
        <v/>
      </c>
      <c r="H37" s="6">
        <f>MOD((Config!$B$2+$AP37*7919)*9301+49297,233280)/233280</f>
        <v/>
      </c>
      <c r="I37" s="6">
        <f>MOD((Config!$B$2+$AP37*104729)*4096+150889,714025)/714025</f>
        <v/>
      </c>
      <c r="J37" s="6">
        <f>MOD((Config!$B$2*31+$AP37*15485863)*1366+150889,714025)/714025</f>
        <v/>
      </c>
      <c r="K37" s="6" t="n"/>
      <c r="L37" s="6" t="n"/>
      <c r="M37" s="6">
        <f>COUNTIF(Siblings!$A$2:$A$84,B37)</f>
        <v/>
      </c>
      <c r="N37" s="6">
        <f>1+INT(J37*M37)</f>
        <v/>
      </c>
      <c r="O37" s="6">
        <f>IF(K37&lt;&gt;"",K37,IFERROR(INDEX(Siblings!$D$2:$D$84,MATCH(B37&amp;"|"&amp;N37,Siblings!$F$2:$F$84,0)),0))</f>
        <v/>
      </c>
      <c r="P37" s="6">
        <f>IF(L37&lt;&gt;"",L37,IFERROR(INDEX(Siblings!$E$2:$E$84,MATCH(B37&amp;"|"&amp;N37,Siblings!$F$2:$F$84,0)),0))</f>
        <v/>
      </c>
      <c r="Q37" s="6">
        <f>(INDEX('Earth curves'!$B$2:$B$46,MAX(1,MIN(44,IFERROR(MATCH(F37,'Earth curves'!$A$2:$A$46,1),1))))+(F37-INDEX('Earth curves'!$A$2:$A$46,MAX(1,MIN(44,IFERROR(MATCH(F37,'Earth curves'!$A$2:$A$46,1),1)))))*(INDEX('Earth curves'!$B$2:$B$46,MAX(1,MIN(44,IFERROR(MATCH(F37,'Earth curves'!$A$2:$A$46,1),1)))+1)-INDEX('Earth curves'!$B$2:$B$46,MAX(1,MIN(44,IFERROR(MATCH(F37,'Earth curves'!$A$2:$A$46,1),1)))))/(INDEX('Earth curves'!$A$2:$A$46,MAX(1,MIN(44,IFERROR(MATCH(F37,'Earth curves'!$A$2:$A$46,1),1)))+1)-INDEX('Earth curves'!$A$2:$A$46,MAX(1,MIN(44,IFERROR(MATCH(F37,'Earth curves'!$A$2:$A$46,1),1))))))</f>
        <v/>
      </c>
      <c r="R37" s="6">
        <f>(INDEX('Earth curves'!$C$2:$C$46,MAX(1,MIN(44,IFERROR(MATCH(F37,'Earth curves'!$A$2:$A$46,1),1))))+(F37-INDEX('Earth curves'!$A$2:$A$46,MAX(1,MIN(44,IFERROR(MATCH(F37,'Earth curves'!$A$2:$A$46,1),1)))))*(INDEX('Earth curves'!$C$2:$C$46,MAX(1,MIN(44,IFERROR(MATCH(F37,'Earth curves'!$A$2:$A$46,1),1)))+1)-INDEX('Earth curves'!$C$2:$C$46,MAX(1,MIN(44,IFERROR(MATCH(F37,'Earth curves'!$A$2:$A$46,1),1)))))/(INDEX('Earth curves'!$A$2:$A$46,MAX(1,MIN(44,IFERROR(MATCH(F37,'Earth curves'!$A$2:$A$46,1),1)))+1)-INDEX('Earth curves'!$A$2:$A$46,MAX(1,MIN(44,IFERROR(MATCH(F37,'Earth curves'!$A$2:$A$46,1),1))))))</f>
        <v/>
      </c>
      <c r="S37" s="6">
        <f>MEDIAN(0.307692,Q37+MEDIAN(-0.350583,O37+NORMSINV(H37)*0.064828*Config!$B$3,0.120277),0.993846)</f>
        <v/>
      </c>
      <c r="T37" s="10">
        <f>ROUND(Config!$B$7+(Config!$B$8-Config!$B$7)*S37,1)</f>
        <v/>
      </c>
      <c r="U37" s="11" t="n"/>
      <c r="V37" s="10">
        <f>IF(U37="",T37,U37)</f>
        <v/>
      </c>
      <c r="W37" s="6">
        <f>MEDIAN(0.05,R37+MEDIAN(-0.302219,P37+NORMSINV(I37)*0.089531*Config!$B$3,0.274961),0.999)</f>
        <v/>
      </c>
      <c r="X37" s="6">
        <f>(INDEX('Earth curves'!$F$2:$F$46,MAX(1,MIN(44,IFERROR(MATCH(W37,'Earth curves'!$E$2:$E$46,1),1))))+(W37-INDEX('Earth curves'!$E$2:$E$46,MAX(1,MIN(44,IFERROR(MATCH(W37,'Earth curves'!$E$2:$E$46,1),1)))))*(INDEX('Earth curves'!$F$2:$F$46,MAX(1,MIN(44,IFERROR(MATCH(W37,'Earth curves'!$E$2:$E$46,1),1)))+1)-INDEX('Earth curves'!$F$2:$F$46,MAX(1,MIN(44,IFERROR(MATCH(W37,'Earth curves'!$E$2:$E$46,1),1)))))/(INDEX('Earth curves'!$E$2:$E$46,MAX(1,MIN(44,IFERROR(MATCH(W37,'Earth curves'!$E$2:$E$46,1),1)))+1)-INDEX('Earth curves'!$E$2:$E$46,MAX(1,MIN(44,IFERROR(MATCH(W37,'Earth curves'!$E$2:$E$46,1),1))))))</f>
        <v/>
      </c>
      <c r="Y37" s="6">
        <f>(INDEX('Earth curves'!$G$2:$G$46,MAX(1,MIN(44,IFERROR(MATCH(W37,'Earth curves'!$E$2:$E$46,1),1))))+(W37-INDEX('Earth curves'!$E$2:$E$46,MAX(1,MIN(44,IFERROR(MATCH(W37,'Earth curves'!$E$2:$E$46,1),1)))))*(INDEX('Earth curves'!$G$2:$G$46,MAX(1,MIN(44,IFERROR(MATCH(W37,'Earth curves'!$E$2:$E$46,1),1)))+1)-INDEX('Earth curves'!$G$2:$G$46,MAX(1,MIN(44,IFERROR(MATCH(W37,'Earth curves'!$E$2:$E$46,1),1)))))/(INDEX('Earth curves'!$E$2:$E$46,MAX(1,MIN(44,IFERROR(MATCH(W37,'Earth curves'!$E$2:$E$46,1),1)))+1)-INDEX('Earth curves'!$E$2:$E$46,MAX(1,MIN(44,IFERROR(MATCH(W37,'Earth curves'!$E$2:$E$46,1),1))))))</f>
        <v/>
      </c>
      <c r="Z37" s="6">
        <f>(MIN(X37/Config!$B$9,1)+MIN(Y37/Config!$B$10,1))/2</f>
        <v/>
      </c>
      <c r="AA37" s="10">
        <f>ROUND(MIN(22,MAX(3,X37*W37/Z37)),1)</f>
        <v/>
      </c>
      <c r="AB37" s="11" t="n"/>
      <c r="AC37" s="10">
        <f>IF(AB37="",AA37,AB37)</f>
        <v/>
      </c>
      <c r="AD37" s="10">
        <f>ROUND(MIN(Config!$B$10,MAX(1,Y37*W37/Z37)),1)</f>
        <v/>
      </c>
      <c r="AE37" s="11" t="n"/>
      <c r="AF37" s="10">
        <f>IF(AE37="",AD37,AE37)</f>
        <v/>
      </c>
      <c r="AG37" s="9">
        <f>(V37-Config!$B$7)/(Config!$B$8-Config!$B$7)</f>
        <v/>
      </c>
      <c r="AH37" s="9">
        <f>(MIN(AC37/Config!$B$9,1)+MIN(AF37/Config!$B$10,1))/2</f>
        <v/>
      </c>
      <c r="AI37" s="12">
        <f>ROUND((AG37*AH37*G37)^(1/3),3)</f>
        <v/>
      </c>
      <c r="AJ37" s="12" t="n">
        <v>0.67</v>
      </c>
      <c r="AK37" s="13">
        <f>AI37-AJ37</f>
        <v/>
      </c>
      <c r="AL37" s="13">
        <f>AK37-AVERAGE($AK$2:$AK$173)</f>
        <v/>
      </c>
      <c r="AM37" s="6">
        <f>IF(ABS(AL37)&gt;Config!$B$11,"REVIEW","")</f>
        <v/>
      </c>
      <c r="AN37" s="14">
        <f>RANK(AI37,$AI$2:$AI$173)</f>
        <v/>
      </c>
      <c r="AO37" s="14">
        <f>RANK(AJ37,$AJ$2:$AJ$173)</f>
        <v/>
      </c>
      <c r="AP37" s="14" t="n">
        <v>37</v>
      </c>
    </row>
    <row r="38">
      <c r="A38" s="6" t="inlineStr">
        <is>
          <t>Erkizil</t>
        </is>
      </c>
      <c r="B38" s="6" t="inlineStr">
        <is>
          <t>Quia</t>
        </is>
      </c>
      <c r="C38" s="6" t="inlineStr">
        <is>
          <t>resource</t>
        </is>
      </c>
      <c r="D38" s="7" t="n">
        <v>14540</v>
      </c>
      <c r="E38" s="8">
        <f>D38*Config!$B$4</f>
        <v/>
      </c>
      <c r="F38" s="6">
        <f>LN(MAX(60,E38))</f>
        <v/>
      </c>
      <c r="G38" s="9">
        <f>MEDIAN(0,(F38-LN(Config!$B$5))/(LN(Config!$B$6)-LN(Config!$B$5)),1)</f>
        <v/>
      </c>
      <c r="H38" s="6">
        <f>MOD((Config!$B$2+$AP38*7919)*9301+49297,233280)/233280</f>
        <v/>
      </c>
      <c r="I38" s="6">
        <f>MOD((Config!$B$2+$AP38*104729)*4096+150889,714025)/714025</f>
        <v/>
      </c>
      <c r="J38" s="6">
        <f>MOD((Config!$B$2*31+$AP38*15485863)*1366+150889,714025)/714025</f>
        <v/>
      </c>
      <c r="K38" s="6" t="n">
        <v>0.032359</v>
      </c>
      <c r="L38" s="6" t="n">
        <v>-0.037852</v>
      </c>
      <c r="M38" s="6">
        <f>COUNTIF(Siblings!$A$2:$A$84,B38)</f>
        <v/>
      </c>
      <c r="N38" s="6">
        <f>1+INT(J38*M38)</f>
        <v/>
      </c>
      <c r="O38" s="6">
        <f>IF(K38&lt;&gt;"",K38,IFERROR(INDEX(Siblings!$D$2:$D$84,MATCH(B38&amp;"|"&amp;N38,Siblings!$F$2:$F$84,0)),0))</f>
        <v/>
      </c>
      <c r="P38" s="6">
        <f>IF(L38&lt;&gt;"",L38,IFERROR(INDEX(Siblings!$E$2:$E$84,MATCH(B38&amp;"|"&amp;N38,Siblings!$F$2:$F$84,0)),0))</f>
        <v/>
      </c>
      <c r="Q38" s="6">
        <f>(INDEX('Earth curves'!$B$2:$B$46,MAX(1,MIN(44,IFERROR(MATCH(F38,'Earth curves'!$A$2:$A$46,1),1))))+(F38-INDEX('Earth curves'!$A$2:$A$46,MAX(1,MIN(44,IFERROR(MATCH(F38,'Earth curves'!$A$2:$A$46,1),1)))))*(INDEX('Earth curves'!$B$2:$B$46,MAX(1,MIN(44,IFERROR(MATCH(F38,'Earth curves'!$A$2:$A$46,1),1)))+1)-INDEX('Earth curves'!$B$2:$B$46,MAX(1,MIN(44,IFERROR(MATCH(F38,'Earth curves'!$A$2:$A$46,1),1)))))/(INDEX('Earth curves'!$A$2:$A$46,MAX(1,MIN(44,IFERROR(MATCH(F38,'Earth curves'!$A$2:$A$46,1),1)))+1)-INDEX('Earth curves'!$A$2:$A$46,MAX(1,MIN(44,IFERROR(MATCH(F38,'Earth curves'!$A$2:$A$46,1),1))))))</f>
        <v/>
      </c>
      <c r="R38" s="6">
        <f>(INDEX('Earth curves'!$C$2:$C$46,MAX(1,MIN(44,IFERROR(MATCH(F38,'Earth curves'!$A$2:$A$46,1),1))))+(F38-INDEX('Earth curves'!$A$2:$A$46,MAX(1,MIN(44,IFERROR(MATCH(F38,'Earth curves'!$A$2:$A$46,1),1)))))*(INDEX('Earth curves'!$C$2:$C$46,MAX(1,MIN(44,IFERROR(MATCH(F38,'Earth curves'!$A$2:$A$46,1),1)))+1)-INDEX('Earth curves'!$C$2:$C$46,MAX(1,MIN(44,IFERROR(MATCH(F38,'Earth curves'!$A$2:$A$46,1),1)))))/(INDEX('Earth curves'!$A$2:$A$46,MAX(1,MIN(44,IFERROR(MATCH(F38,'Earth curves'!$A$2:$A$46,1),1)))+1)-INDEX('Earth curves'!$A$2:$A$46,MAX(1,MIN(44,IFERROR(MATCH(F38,'Earth curves'!$A$2:$A$46,1),1))))))</f>
        <v/>
      </c>
      <c r="S38" s="6">
        <f>MEDIAN(0.307692,Q38+MEDIAN(-0.350583,O38+NORMSINV(H38)*0.064828*Config!$B$3,0.120277),0.993846)</f>
        <v/>
      </c>
      <c r="T38" s="10">
        <f>ROUND(Config!$B$7+(Config!$B$8-Config!$B$7)*S38,1)</f>
        <v/>
      </c>
      <c r="U38" s="11" t="n"/>
      <c r="V38" s="10">
        <f>IF(U38="",T38,U38)</f>
        <v/>
      </c>
      <c r="W38" s="6">
        <f>MEDIAN(0.05,R38+MEDIAN(-0.302219,P38+NORMSINV(I38)*0.089531*Config!$B$3,0.274961),0.999)</f>
        <v/>
      </c>
      <c r="X38" s="6">
        <f>(INDEX('Earth curves'!$F$2:$F$46,MAX(1,MIN(44,IFERROR(MATCH(W38,'Earth curves'!$E$2:$E$46,1),1))))+(W38-INDEX('Earth curves'!$E$2:$E$46,MAX(1,MIN(44,IFERROR(MATCH(W38,'Earth curves'!$E$2:$E$46,1),1)))))*(INDEX('Earth curves'!$F$2:$F$46,MAX(1,MIN(44,IFERROR(MATCH(W38,'Earth curves'!$E$2:$E$46,1),1)))+1)-INDEX('Earth curves'!$F$2:$F$46,MAX(1,MIN(44,IFERROR(MATCH(W38,'Earth curves'!$E$2:$E$46,1),1)))))/(INDEX('Earth curves'!$E$2:$E$46,MAX(1,MIN(44,IFERROR(MATCH(W38,'Earth curves'!$E$2:$E$46,1),1)))+1)-INDEX('Earth curves'!$E$2:$E$46,MAX(1,MIN(44,IFERROR(MATCH(W38,'Earth curves'!$E$2:$E$46,1),1))))))</f>
        <v/>
      </c>
      <c r="Y38" s="6">
        <f>(INDEX('Earth curves'!$G$2:$G$46,MAX(1,MIN(44,IFERROR(MATCH(W38,'Earth curves'!$E$2:$E$46,1),1))))+(W38-INDEX('Earth curves'!$E$2:$E$46,MAX(1,MIN(44,IFERROR(MATCH(W38,'Earth curves'!$E$2:$E$46,1),1)))))*(INDEX('Earth curves'!$G$2:$G$46,MAX(1,MIN(44,IFERROR(MATCH(W38,'Earth curves'!$E$2:$E$46,1),1)))+1)-INDEX('Earth curves'!$G$2:$G$46,MAX(1,MIN(44,IFERROR(MATCH(W38,'Earth curves'!$E$2:$E$46,1),1)))))/(INDEX('Earth curves'!$E$2:$E$46,MAX(1,MIN(44,IFERROR(MATCH(W38,'Earth curves'!$E$2:$E$46,1),1)))+1)-INDEX('Earth curves'!$E$2:$E$46,MAX(1,MIN(44,IFERROR(MATCH(W38,'Earth curves'!$E$2:$E$46,1),1))))))</f>
        <v/>
      </c>
      <c r="Z38" s="6">
        <f>(MIN(X38/Config!$B$9,1)+MIN(Y38/Config!$B$10,1))/2</f>
        <v/>
      </c>
      <c r="AA38" s="10">
        <f>ROUND(MIN(22,MAX(3,X38*W38/Z38)),1)</f>
        <v/>
      </c>
      <c r="AB38" s="11" t="n"/>
      <c r="AC38" s="10">
        <f>IF(AB38="",AA38,AB38)</f>
        <v/>
      </c>
      <c r="AD38" s="10">
        <f>ROUND(MIN(Config!$B$10,MAX(1,Y38*W38/Z38)),1)</f>
        <v/>
      </c>
      <c r="AE38" s="11" t="n"/>
      <c r="AF38" s="10">
        <f>IF(AE38="",AD38,AE38)</f>
        <v/>
      </c>
      <c r="AG38" s="9">
        <f>(V38-Config!$B$7)/(Config!$B$8-Config!$B$7)</f>
        <v/>
      </c>
      <c r="AH38" s="9">
        <f>(MIN(AC38/Config!$B$9,1)+MIN(AF38/Config!$B$10,1))/2</f>
        <v/>
      </c>
      <c r="AI38" s="12">
        <f>ROUND((AG38*AH38*G38)^(1/3),3)</f>
        <v/>
      </c>
      <c r="AJ38" s="12" t="n">
        <v>0.601</v>
      </c>
      <c r="AK38" s="13">
        <f>AI38-AJ38</f>
        <v/>
      </c>
      <c r="AL38" s="13">
        <f>AK38-AVERAGE($AK$2:$AK$173)</f>
        <v/>
      </c>
      <c r="AM38" s="6">
        <f>IF(ABS(AL38)&gt;Config!$B$11,"REVIEW","")</f>
        <v/>
      </c>
      <c r="AN38" s="14">
        <f>RANK(AI38,$AI$2:$AI$173)</f>
        <v/>
      </c>
      <c r="AO38" s="14">
        <f>RANK(AJ38,$AJ$2:$AJ$173)</f>
        <v/>
      </c>
      <c r="AP38" s="14" t="n">
        <v>38</v>
      </c>
    </row>
    <row r="39">
      <c r="A39" s="6" t="inlineStr">
        <is>
          <t>Estijan</t>
        </is>
      </c>
      <c r="B39" s="6" t="inlineStr">
        <is>
          <t>Ayuma</t>
        </is>
      </c>
      <c r="C39" s="6" t="inlineStr">
        <is>
          <t>resource</t>
        </is>
      </c>
      <c r="D39" s="7" t="n">
        <v>86032</v>
      </c>
      <c r="E39" s="8">
        <f>D39*Config!$B$4</f>
        <v/>
      </c>
      <c r="F39" s="6">
        <f>LN(MAX(60,E39))</f>
        <v/>
      </c>
      <c r="G39" s="9">
        <f>MEDIAN(0,(F39-LN(Config!$B$5))/(LN(Config!$B$6)-LN(Config!$B$5)),1)</f>
        <v/>
      </c>
      <c r="H39" s="6">
        <f>MOD((Config!$B$2+$AP39*7919)*9301+49297,233280)/233280</f>
        <v/>
      </c>
      <c r="I39" s="6">
        <f>MOD((Config!$B$2+$AP39*104729)*4096+150889,714025)/714025</f>
        <v/>
      </c>
      <c r="J39" s="6">
        <f>MOD((Config!$B$2*31+$AP39*15485863)*1366+150889,714025)/714025</f>
        <v/>
      </c>
      <c r="K39" s="6" t="n"/>
      <c r="L39" s="6" t="n"/>
      <c r="M39" s="6">
        <f>COUNTIF(Siblings!$A$2:$A$84,B39)</f>
        <v/>
      </c>
      <c r="N39" s="6">
        <f>1+INT(J39*M39)</f>
        <v/>
      </c>
      <c r="O39" s="6">
        <f>IF(K39&lt;&gt;"",K39,IFERROR(INDEX(Siblings!$D$2:$D$84,MATCH(B39&amp;"|"&amp;N39,Siblings!$F$2:$F$84,0)),0))</f>
        <v/>
      </c>
      <c r="P39" s="6">
        <f>IF(L39&lt;&gt;"",L39,IFERROR(INDEX(Siblings!$E$2:$E$84,MATCH(B39&amp;"|"&amp;N39,Siblings!$F$2:$F$84,0)),0))</f>
        <v/>
      </c>
      <c r="Q39" s="6">
        <f>(INDEX('Earth curves'!$B$2:$B$46,MAX(1,MIN(44,IFERROR(MATCH(F39,'Earth curves'!$A$2:$A$46,1),1))))+(F39-INDEX('Earth curves'!$A$2:$A$46,MAX(1,MIN(44,IFERROR(MATCH(F39,'Earth curves'!$A$2:$A$46,1),1)))))*(INDEX('Earth curves'!$B$2:$B$46,MAX(1,MIN(44,IFERROR(MATCH(F39,'Earth curves'!$A$2:$A$46,1),1)))+1)-INDEX('Earth curves'!$B$2:$B$46,MAX(1,MIN(44,IFERROR(MATCH(F39,'Earth curves'!$A$2:$A$46,1),1)))))/(INDEX('Earth curves'!$A$2:$A$46,MAX(1,MIN(44,IFERROR(MATCH(F39,'Earth curves'!$A$2:$A$46,1),1)))+1)-INDEX('Earth curves'!$A$2:$A$46,MAX(1,MIN(44,IFERROR(MATCH(F39,'Earth curves'!$A$2:$A$46,1),1))))))</f>
        <v/>
      </c>
      <c r="R39" s="6">
        <f>(INDEX('Earth curves'!$C$2:$C$46,MAX(1,MIN(44,IFERROR(MATCH(F39,'Earth curves'!$A$2:$A$46,1),1))))+(F39-INDEX('Earth curves'!$A$2:$A$46,MAX(1,MIN(44,IFERROR(MATCH(F39,'Earth curves'!$A$2:$A$46,1),1)))))*(INDEX('Earth curves'!$C$2:$C$46,MAX(1,MIN(44,IFERROR(MATCH(F39,'Earth curves'!$A$2:$A$46,1),1)))+1)-INDEX('Earth curves'!$C$2:$C$46,MAX(1,MIN(44,IFERROR(MATCH(F39,'Earth curves'!$A$2:$A$46,1),1)))))/(INDEX('Earth curves'!$A$2:$A$46,MAX(1,MIN(44,IFERROR(MATCH(F39,'Earth curves'!$A$2:$A$46,1),1)))+1)-INDEX('Earth curves'!$A$2:$A$46,MAX(1,MIN(44,IFERROR(MATCH(F39,'Earth curves'!$A$2:$A$46,1),1))))))</f>
        <v/>
      </c>
      <c r="S39" s="6">
        <f>MEDIAN(0.307692,Q39+MEDIAN(-0.350583,O39+NORMSINV(H39)*0.064828*Config!$B$3,0.120277),0.993846)</f>
        <v/>
      </c>
      <c r="T39" s="10">
        <f>ROUND(Config!$B$7+(Config!$B$8-Config!$B$7)*S39,1)</f>
        <v/>
      </c>
      <c r="U39" s="11" t="n"/>
      <c r="V39" s="10">
        <f>IF(U39="",T39,U39)</f>
        <v/>
      </c>
      <c r="W39" s="6">
        <f>MEDIAN(0.05,R39+MEDIAN(-0.302219,P39+NORMSINV(I39)*0.089531*Config!$B$3,0.274961),0.999)</f>
        <v/>
      </c>
      <c r="X39" s="6">
        <f>(INDEX('Earth curves'!$F$2:$F$46,MAX(1,MIN(44,IFERROR(MATCH(W39,'Earth curves'!$E$2:$E$46,1),1))))+(W39-INDEX('Earth curves'!$E$2:$E$46,MAX(1,MIN(44,IFERROR(MATCH(W39,'Earth curves'!$E$2:$E$46,1),1)))))*(INDEX('Earth curves'!$F$2:$F$46,MAX(1,MIN(44,IFERROR(MATCH(W39,'Earth curves'!$E$2:$E$46,1),1)))+1)-INDEX('Earth curves'!$F$2:$F$46,MAX(1,MIN(44,IFERROR(MATCH(W39,'Earth curves'!$E$2:$E$46,1),1)))))/(INDEX('Earth curves'!$E$2:$E$46,MAX(1,MIN(44,IFERROR(MATCH(W39,'Earth curves'!$E$2:$E$46,1),1)))+1)-INDEX('Earth curves'!$E$2:$E$46,MAX(1,MIN(44,IFERROR(MATCH(W39,'Earth curves'!$E$2:$E$46,1),1))))))</f>
        <v/>
      </c>
      <c r="Y39" s="6">
        <f>(INDEX('Earth curves'!$G$2:$G$46,MAX(1,MIN(44,IFERROR(MATCH(W39,'Earth curves'!$E$2:$E$46,1),1))))+(W39-INDEX('Earth curves'!$E$2:$E$46,MAX(1,MIN(44,IFERROR(MATCH(W39,'Earth curves'!$E$2:$E$46,1),1)))))*(INDEX('Earth curves'!$G$2:$G$46,MAX(1,MIN(44,IFERROR(MATCH(W39,'Earth curves'!$E$2:$E$46,1),1)))+1)-INDEX('Earth curves'!$G$2:$G$46,MAX(1,MIN(44,IFERROR(MATCH(W39,'Earth curves'!$E$2:$E$46,1),1)))))/(INDEX('Earth curves'!$E$2:$E$46,MAX(1,MIN(44,IFERROR(MATCH(W39,'Earth curves'!$E$2:$E$46,1),1)))+1)-INDEX('Earth curves'!$E$2:$E$46,MAX(1,MIN(44,IFERROR(MATCH(W39,'Earth curves'!$E$2:$E$46,1),1))))))</f>
        <v/>
      </c>
      <c r="Z39" s="6">
        <f>(MIN(X39/Config!$B$9,1)+MIN(Y39/Config!$B$10,1))/2</f>
        <v/>
      </c>
      <c r="AA39" s="10">
        <f>ROUND(MIN(22,MAX(3,X39*W39/Z39)),1)</f>
        <v/>
      </c>
      <c r="AB39" s="11" t="n"/>
      <c r="AC39" s="10">
        <f>IF(AB39="",AA39,AB39)</f>
        <v/>
      </c>
      <c r="AD39" s="10">
        <f>ROUND(MIN(Config!$B$10,MAX(1,Y39*W39/Z39)),1)</f>
        <v/>
      </c>
      <c r="AE39" s="11" t="n"/>
      <c r="AF39" s="10">
        <f>IF(AE39="",AD39,AE39)</f>
        <v/>
      </c>
      <c r="AG39" s="9">
        <f>(V39-Config!$B$7)/(Config!$B$8-Config!$B$7)</f>
        <v/>
      </c>
      <c r="AH39" s="9">
        <f>(MIN(AC39/Config!$B$9,1)+MIN(AF39/Config!$B$10,1))/2</f>
        <v/>
      </c>
      <c r="AI39" s="12">
        <f>ROUND((AG39*AH39*G39)^(1/3),3)</f>
        <v/>
      </c>
      <c r="AJ39" s="12" t="n">
        <v>0.825</v>
      </c>
      <c r="AK39" s="13">
        <f>AI39-AJ39</f>
        <v/>
      </c>
      <c r="AL39" s="13">
        <f>AK39-AVERAGE($AK$2:$AK$173)</f>
        <v/>
      </c>
      <c r="AM39" s="6">
        <f>IF(ABS(AL39)&gt;Config!$B$11,"REVIEW","")</f>
        <v/>
      </c>
      <c r="AN39" s="14">
        <f>RANK(AI39,$AI$2:$AI$173)</f>
        <v/>
      </c>
      <c r="AO39" s="14">
        <f>RANK(AJ39,$AJ$2:$AJ$173)</f>
        <v/>
      </c>
      <c r="AP39" s="14" t="n">
        <v>39</v>
      </c>
    </row>
    <row r="40">
      <c r="A40" s="6" t="inlineStr">
        <is>
          <t>Etirha</t>
        </is>
      </c>
      <c r="B40" s="6" t="inlineStr">
        <is>
          <t>Atirha</t>
        </is>
      </c>
      <c r="C40" s="6" t="inlineStr">
        <is>
          <t>resource, tradehub, university</t>
        </is>
      </c>
      <c r="D40" s="7" t="n">
        <v>283175</v>
      </c>
      <c r="E40" s="8">
        <f>D40*Config!$B$4</f>
        <v/>
      </c>
      <c r="F40" s="6">
        <f>LN(MAX(60,E40))</f>
        <v/>
      </c>
      <c r="G40" s="9">
        <f>MEDIAN(0,(F40-LN(Config!$B$5))/(LN(Config!$B$6)-LN(Config!$B$5)),1)</f>
        <v/>
      </c>
      <c r="H40" s="6">
        <f>MOD((Config!$B$2+$AP40*7919)*9301+49297,233280)/233280</f>
        <v/>
      </c>
      <c r="I40" s="6">
        <f>MOD((Config!$B$2+$AP40*104729)*4096+150889,714025)/714025</f>
        <v/>
      </c>
      <c r="J40" s="6">
        <f>MOD((Config!$B$2*31+$AP40*15485863)*1366+150889,714025)/714025</f>
        <v/>
      </c>
      <c r="K40" s="6" t="n"/>
      <c r="L40" s="6" t="n"/>
      <c r="M40" s="6">
        <f>COUNTIF(Siblings!$A$2:$A$84,B40)</f>
        <v/>
      </c>
      <c r="N40" s="6">
        <f>1+INT(J40*M40)</f>
        <v/>
      </c>
      <c r="O40" s="6">
        <f>IF(K40&lt;&gt;"",K40,IFERROR(INDEX(Siblings!$D$2:$D$84,MATCH(B40&amp;"|"&amp;N40,Siblings!$F$2:$F$84,0)),0))</f>
        <v/>
      </c>
      <c r="P40" s="6">
        <f>IF(L40&lt;&gt;"",L40,IFERROR(INDEX(Siblings!$E$2:$E$84,MATCH(B40&amp;"|"&amp;N40,Siblings!$F$2:$F$84,0)),0))</f>
        <v/>
      </c>
      <c r="Q40" s="6">
        <f>(INDEX('Earth curves'!$B$2:$B$46,MAX(1,MIN(44,IFERROR(MATCH(F40,'Earth curves'!$A$2:$A$46,1),1))))+(F40-INDEX('Earth curves'!$A$2:$A$46,MAX(1,MIN(44,IFERROR(MATCH(F40,'Earth curves'!$A$2:$A$46,1),1)))))*(INDEX('Earth curves'!$B$2:$B$46,MAX(1,MIN(44,IFERROR(MATCH(F40,'Earth curves'!$A$2:$A$46,1),1)))+1)-INDEX('Earth curves'!$B$2:$B$46,MAX(1,MIN(44,IFERROR(MATCH(F40,'Earth curves'!$A$2:$A$46,1),1)))))/(INDEX('Earth curves'!$A$2:$A$46,MAX(1,MIN(44,IFERROR(MATCH(F40,'Earth curves'!$A$2:$A$46,1),1)))+1)-INDEX('Earth curves'!$A$2:$A$46,MAX(1,MIN(44,IFERROR(MATCH(F40,'Earth curves'!$A$2:$A$46,1),1))))))</f>
        <v/>
      </c>
      <c r="R40" s="6">
        <f>(INDEX('Earth curves'!$C$2:$C$46,MAX(1,MIN(44,IFERROR(MATCH(F40,'Earth curves'!$A$2:$A$46,1),1))))+(F40-INDEX('Earth curves'!$A$2:$A$46,MAX(1,MIN(44,IFERROR(MATCH(F40,'Earth curves'!$A$2:$A$46,1),1)))))*(INDEX('Earth curves'!$C$2:$C$46,MAX(1,MIN(44,IFERROR(MATCH(F40,'Earth curves'!$A$2:$A$46,1),1)))+1)-INDEX('Earth curves'!$C$2:$C$46,MAX(1,MIN(44,IFERROR(MATCH(F40,'Earth curves'!$A$2:$A$46,1),1)))))/(INDEX('Earth curves'!$A$2:$A$46,MAX(1,MIN(44,IFERROR(MATCH(F40,'Earth curves'!$A$2:$A$46,1),1)))+1)-INDEX('Earth curves'!$A$2:$A$46,MAX(1,MIN(44,IFERROR(MATCH(F40,'Earth curves'!$A$2:$A$46,1),1))))))</f>
        <v/>
      </c>
      <c r="S40" s="6">
        <f>MEDIAN(0.307692,Q40+MEDIAN(-0.350583,O40+NORMSINV(H40)*0.064828*Config!$B$3,0.120277),0.993846)</f>
        <v/>
      </c>
      <c r="T40" s="10">
        <f>ROUND(Config!$B$7+(Config!$B$8-Config!$B$7)*S40,1)</f>
        <v/>
      </c>
      <c r="U40" s="11" t="n"/>
      <c r="V40" s="10">
        <f>IF(U40="",T40,U40)</f>
        <v/>
      </c>
      <c r="W40" s="6">
        <f>MEDIAN(0.05,R40+MEDIAN(-0.302219,P40+NORMSINV(I40)*0.089531*Config!$B$3,0.274961),0.999)</f>
        <v/>
      </c>
      <c r="X40" s="6">
        <f>(INDEX('Earth curves'!$F$2:$F$46,MAX(1,MIN(44,IFERROR(MATCH(W40,'Earth curves'!$E$2:$E$46,1),1))))+(W40-INDEX('Earth curves'!$E$2:$E$46,MAX(1,MIN(44,IFERROR(MATCH(W40,'Earth curves'!$E$2:$E$46,1),1)))))*(INDEX('Earth curves'!$F$2:$F$46,MAX(1,MIN(44,IFERROR(MATCH(W40,'Earth curves'!$E$2:$E$46,1),1)))+1)-INDEX('Earth curves'!$F$2:$F$46,MAX(1,MIN(44,IFERROR(MATCH(W40,'Earth curves'!$E$2:$E$46,1),1)))))/(INDEX('Earth curves'!$E$2:$E$46,MAX(1,MIN(44,IFERROR(MATCH(W40,'Earth curves'!$E$2:$E$46,1),1)))+1)-INDEX('Earth curves'!$E$2:$E$46,MAX(1,MIN(44,IFERROR(MATCH(W40,'Earth curves'!$E$2:$E$46,1),1))))))</f>
        <v/>
      </c>
      <c r="Y40" s="6">
        <f>(INDEX('Earth curves'!$G$2:$G$46,MAX(1,MIN(44,IFERROR(MATCH(W40,'Earth curves'!$E$2:$E$46,1),1))))+(W40-INDEX('Earth curves'!$E$2:$E$46,MAX(1,MIN(44,IFERROR(MATCH(W40,'Earth curves'!$E$2:$E$46,1),1)))))*(INDEX('Earth curves'!$G$2:$G$46,MAX(1,MIN(44,IFERROR(MATCH(W40,'Earth curves'!$E$2:$E$46,1),1)))+1)-INDEX('Earth curves'!$G$2:$G$46,MAX(1,MIN(44,IFERROR(MATCH(W40,'Earth curves'!$E$2:$E$46,1),1)))))/(INDEX('Earth curves'!$E$2:$E$46,MAX(1,MIN(44,IFERROR(MATCH(W40,'Earth curves'!$E$2:$E$46,1),1)))+1)-INDEX('Earth curves'!$E$2:$E$46,MAX(1,MIN(44,IFERROR(MATCH(W40,'Earth curves'!$E$2:$E$46,1),1))))))</f>
        <v/>
      </c>
      <c r="Z40" s="6">
        <f>(MIN(X40/Config!$B$9,1)+MIN(Y40/Config!$B$10,1))/2</f>
        <v/>
      </c>
      <c r="AA40" s="10">
        <f>ROUND(MIN(22,MAX(3,X40*W40/Z40)),1)</f>
        <v/>
      </c>
      <c r="AB40" s="11" t="n"/>
      <c r="AC40" s="10">
        <f>IF(AB40="",AA40,AB40)</f>
        <v/>
      </c>
      <c r="AD40" s="10">
        <f>ROUND(MIN(Config!$B$10,MAX(1,Y40*W40/Z40)),1)</f>
        <v/>
      </c>
      <c r="AE40" s="11" t="n"/>
      <c r="AF40" s="10">
        <f>IF(AE40="",AD40,AE40)</f>
        <v/>
      </c>
      <c r="AG40" s="9">
        <f>(V40-Config!$B$7)/(Config!$B$8-Config!$B$7)</f>
        <v/>
      </c>
      <c r="AH40" s="9">
        <f>(MIN(AC40/Config!$B$9,1)+MIN(AF40/Config!$B$10,1))/2</f>
        <v/>
      </c>
      <c r="AI40" s="12">
        <f>ROUND((AG40*AH40*G40)^(1/3),3)</f>
        <v/>
      </c>
      <c r="AJ40" s="12" t="n">
        <v>0.969</v>
      </c>
      <c r="AK40" s="13">
        <f>AI40-AJ40</f>
        <v/>
      </c>
      <c r="AL40" s="13">
        <f>AK40-AVERAGE($AK$2:$AK$173)</f>
        <v/>
      </c>
      <c r="AM40" s="6">
        <f>IF(ABS(AL40)&gt;Config!$B$11,"REVIEW","")</f>
        <v/>
      </c>
      <c r="AN40" s="14">
        <f>RANK(AI40,$AI$2:$AI$173)</f>
        <v/>
      </c>
      <c r="AO40" s="14">
        <f>RANK(AJ40,$AJ$2:$AJ$173)</f>
        <v/>
      </c>
      <c r="AP40" s="14" t="n">
        <v>40</v>
      </c>
    </row>
    <row r="41">
      <c r="A41" s="6" t="inlineStr">
        <is>
          <t>Etretes</t>
        </is>
      </c>
      <c r="B41" s="6" t="inlineStr">
        <is>
          <t>Massir</t>
        </is>
      </c>
      <c r="C41" s="6" t="inlineStr">
        <is>
          <t>militarised, resource</t>
        </is>
      </c>
      <c r="D41" s="7" t="n">
        <v>183175</v>
      </c>
      <c r="E41" s="8">
        <f>D41*Config!$B$4</f>
        <v/>
      </c>
      <c r="F41" s="6">
        <f>LN(MAX(60,E41))</f>
        <v/>
      </c>
      <c r="G41" s="9">
        <f>MEDIAN(0,(F41-LN(Config!$B$5))/(LN(Config!$B$6)-LN(Config!$B$5)),1)</f>
        <v/>
      </c>
      <c r="H41" s="6">
        <f>MOD((Config!$B$2+$AP41*7919)*9301+49297,233280)/233280</f>
        <v/>
      </c>
      <c r="I41" s="6">
        <f>MOD((Config!$B$2+$AP41*104729)*4096+150889,714025)/714025</f>
        <v/>
      </c>
      <c r="J41" s="6">
        <f>MOD((Config!$B$2*31+$AP41*15485863)*1366+150889,714025)/714025</f>
        <v/>
      </c>
      <c r="K41" s="6" t="n">
        <v>0.050238</v>
      </c>
      <c r="L41" s="6" t="n">
        <v>0.011282</v>
      </c>
      <c r="M41" s="6">
        <f>COUNTIF(Siblings!$A$2:$A$84,B41)</f>
        <v/>
      </c>
      <c r="N41" s="6">
        <f>1+INT(J41*M41)</f>
        <v/>
      </c>
      <c r="O41" s="6">
        <f>IF(K41&lt;&gt;"",K41,IFERROR(INDEX(Siblings!$D$2:$D$84,MATCH(B41&amp;"|"&amp;N41,Siblings!$F$2:$F$84,0)),0))</f>
        <v/>
      </c>
      <c r="P41" s="6">
        <f>IF(L41&lt;&gt;"",L41,IFERROR(INDEX(Siblings!$E$2:$E$84,MATCH(B41&amp;"|"&amp;N41,Siblings!$F$2:$F$84,0)),0))</f>
        <v/>
      </c>
      <c r="Q41" s="6">
        <f>(INDEX('Earth curves'!$B$2:$B$46,MAX(1,MIN(44,IFERROR(MATCH(F41,'Earth curves'!$A$2:$A$46,1),1))))+(F41-INDEX('Earth curves'!$A$2:$A$46,MAX(1,MIN(44,IFERROR(MATCH(F41,'Earth curves'!$A$2:$A$46,1),1)))))*(INDEX('Earth curves'!$B$2:$B$46,MAX(1,MIN(44,IFERROR(MATCH(F41,'Earth curves'!$A$2:$A$46,1),1)))+1)-INDEX('Earth curves'!$B$2:$B$46,MAX(1,MIN(44,IFERROR(MATCH(F41,'Earth curves'!$A$2:$A$46,1),1)))))/(INDEX('Earth curves'!$A$2:$A$46,MAX(1,MIN(44,IFERROR(MATCH(F41,'Earth curves'!$A$2:$A$46,1),1)))+1)-INDEX('Earth curves'!$A$2:$A$46,MAX(1,MIN(44,IFERROR(MATCH(F41,'Earth curves'!$A$2:$A$46,1),1))))))</f>
        <v/>
      </c>
      <c r="R41" s="6">
        <f>(INDEX('Earth curves'!$C$2:$C$46,MAX(1,MIN(44,IFERROR(MATCH(F41,'Earth curves'!$A$2:$A$46,1),1))))+(F41-INDEX('Earth curves'!$A$2:$A$46,MAX(1,MIN(44,IFERROR(MATCH(F41,'Earth curves'!$A$2:$A$46,1),1)))))*(INDEX('Earth curves'!$C$2:$C$46,MAX(1,MIN(44,IFERROR(MATCH(F41,'Earth curves'!$A$2:$A$46,1),1)))+1)-INDEX('Earth curves'!$C$2:$C$46,MAX(1,MIN(44,IFERROR(MATCH(F41,'Earth curves'!$A$2:$A$46,1),1)))))/(INDEX('Earth curves'!$A$2:$A$46,MAX(1,MIN(44,IFERROR(MATCH(F41,'Earth curves'!$A$2:$A$46,1),1)))+1)-INDEX('Earth curves'!$A$2:$A$46,MAX(1,MIN(44,IFERROR(MATCH(F41,'Earth curves'!$A$2:$A$46,1),1))))))</f>
        <v/>
      </c>
      <c r="S41" s="6">
        <f>MEDIAN(0.307692,Q41+MEDIAN(-0.350583,O41+NORMSINV(H41)*0.064828*Config!$B$3,0.120277),0.993846)</f>
        <v/>
      </c>
      <c r="T41" s="10">
        <f>ROUND(Config!$B$7+(Config!$B$8-Config!$B$7)*S41,1)</f>
        <v/>
      </c>
      <c r="U41" s="11" t="n"/>
      <c r="V41" s="10">
        <f>IF(U41="",T41,U41)</f>
        <v/>
      </c>
      <c r="W41" s="6">
        <f>MEDIAN(0.05,R41+MEDIAN(-0.302219,P41+NORMSINV(I41)*0.089531*Config!$B$3,0.274961),0.999)</f>
        <v/>
      </c>
      <c r="X41" s="6">
        <f>(INDEX('Earth curves'!$F$2:$F$46,MAX(1,MIN(44,IFERROR(MATCH(W41,'Earth curves'!$E$2:$E$46,1),1))))+(W41-INDEX('Earth curves'!$E$2:$E$46,MAX(1,MIN(44,IFERROR(MATCH(W41,'Earth curves'!$E$2:$E$46,1),1)))))*(INDEX('Earth curves'!$F$2:$F$46,MAX(1,MIN(44,IFERROR(MATCH(W41,'Earth curves'!$E$2:$E$46,1),1)))+1)-INDEX('Earth curves'!$F$2:$F$46,MAX(1,MIN(44,IFERROR(MATCH(W41,'Earth curves'!$E$2:$E$46,1),1)))))/(INDEX('Earth curves'!$E$2:$E$46,MAX(1,MIN(44,IFERROR(MATCH(W41,'Earth curves'!$E$2:$E$46,1),1)))+1)-INDEX('Earth curves'!$E$2:$E$46,MAX(1,MIN(44,IFERROR(MATCH(W41,'Earth curves'!$E$2:$E$46,1),1))))))</f>
        <v/>
      </c>
      <c r="Y41" s="6">
        <f>(INDEX('Earth curves'!$G$2:$G$46,MAX(1,MIN(44,IFERROR(MATCH(W41,'Earth curves'!$E$2:$E$46,1),1))))+(W41-INDEX('Earth curves'!$E$2:$E$46,MAX(1,MIN(44,IFERROR(MATCH(W41,'Earth curves'!$E$2:$E$46,1),1)))))*(INDEX('Earth curves'!$G$2:$G$46,MAX(1,MIN(44,IFERROR(MATCH(W41,'Earth curves'!$E$2:$E$46,1),1)))+1)-INDEX('Earth curves'!$G$2:$G$46,MAX(1,MIN(44,IFERROR(MATCH(W41,'Earth curves'!$E$2:$E$46,1),1)))))/(INDEX('Earth curves'!$E$2:$E$46,MAX(1,MIN(44,IFERROR(MATCH(W41,'Earth curves'!$E$2:$E$46,1),1)))+1)-INDEX('Earth curves'!$E$2:$E$46,MAX(1,MIN(44,IFERROR(MATCH(W41,'Earth curves'!$E$2:$E$46,1),1))))))</f>
        <v/>
      </c>
      <c r="Z41" s="6">
        <f>(MIN(X41/Config!$B$9,1)+MIN(Y41/Config!$B$10,1))/2</f>
        <v/>
      </c>
      <c r="AA41" s="10">
        <f>ROUND(MIN(22,MAX(3,X41*W41/Z41)),1)</f>
        <v/>
      </c>
      <c r="AB41" s="11" t="n"/>
      <c r="AC41" s="10">
        <f>IF(AB41="",AA41,AB41)</f>
        <v/>
      </c>
      <c r="AD41" s="10">
        <f>ROUND(MIN(Config!$B$10,MAX(1,Y41*W41/Z41)),1)</f>
        <v/>
      </c>
      <c r="AE41" s="11" t="n"/>
      <c r="AF41" s="10">
        <f>IF(AE41="",AD41,AE41)</f>
        <v/>
      </c>
      <c r="AG41" s="9">
        <f>(V41-Config!$B$7)/(Config!$B$8-Config!$B$7)</f>
        <v/>
      </c>
      <c r="AH41" s="9">
        <f>(MIN(AC41/Config!$B$9,1)+MIN(AF41/Config!$B$10,1))/2</f>
        <v/>
      </c>
      <c r="AI41" s="12">
        <f>ROUND((AG41*AH41*G41)^(1/3),3)</f>
        <v/>
      </c>
      <c r="AJ41" s="12" t="n">
        <v>0.731</v>
      </c>
      <c r="AK41" s="13">
        <f>AI41-AJ41</f>
        <v/>
      </c>
      <c r="AL41" s="13">
        <f>AK41-AVERAGE($AK$2:$AK$173)</f>
        <v/>
      </c>
      <c r="AM41" s="6">
        <f>IF(ABS(AL41)&gt;Config!$B$11,"REVIEW","")</f>
        <v/>
      </c>
      <c r="AN41" s="14">
        <f>RANK(AI41,$AI$2:$AI$173)</f>
        <v/>
      </c>
      <c r="AO41" s="14">
        <f>RANK(AJ41,$AJ$2:$AJ$173)</f>
        <v/>
      </c>
      <c r="AP41" s="14" t="n">
        <v>41</v>
      </c>
    </row>
    <row r="42">
      <c r="A42" s="6" t="inlineStr">
        <is>
          <t>Exilium</t>
        </is>
      </c>
      <c r="B42" s="6" t="inlineStr">
        <is>
          <t>Mahea</t>
        </is>
      </c>
      <c r="C42" s="6" t="inlineStr">
        <is>
          <t>resource</t>
        </is>
      </c>
      <c r="D42" s="7" t="n">
        <v>13937</v>
      </c>
      <c r="E42" s="8">
        <f>D42*Config!$B$4</f>
        <v/>
      </c>
      <c r="F42" s="6">
        <f>LN(MAX(60,E42))</f>
        <v/>
      </c>
      <c r="G42" s="9">
        <f>MEDIAN(0,(F42-LN(Config!$B$5))/(LN(Config!$B$6)-LN(Config!$B$5)),1)</f>
        <v/>
      </c>
      <c r="H42" s="6">
        <f>MOD((Config!$B$2+$AP42*7919)*9301+49297,233280)/233280</f>
        <v/>
      </c>
      <c r="I42" s="6">
        <f>MOD((Config!$B$2+$AP42*104729)*4096+150889,714025)/714025</f>
        <v/>
      </c>
      <c r="J42" s="6">
        <f>MOD((Config!$B$2*31+$AP42*15485863)*1366+150889,714025)/714025</f>
        <v/>
      </c>
      <c r="K42" s="6" t="n">
        <v>0.016028</v>
      </c>
      <c r="L42" s="6" t="n">
        <v>0.077302</v>
      </c>
      <c r="M42" s="6">
        <f>COUNTIF(Siblings!$A$2:$A$84,B42)</f>
        <v/>
      </c>
      <c r="N42" s="6">
        <f>1+INT(J42*M42)</f>
        <v/>
      </c>
      <c r="O42" s="6">
        <f>IF(K42&lt;&gt;"",K42,IFERROR(INDEX(Siblings!$D$2:$D$84,MATCH(B42&amp;"|"&amp;N42,Siblings!$F$2:$F$84,0)),0))</f>
        <v/>
      </c>
      <c r="P42" s="6">
        <f>IF(L42&lt;&gt;"",L42,IFERROR(INDEX(Siblings!$E$2:$E$84,MATCH(B42&amp;"|"&amp;N42,Siblings!$F$2:$F$84,0)),0))</f>
        <v/>
      </c>
      <c r="Q42" s="6">
        <f>(INDEX('Earth curves'!$B$2:$B$46,MAX(1,MIN(44,IFERROR(MATCH(F42,'Earth curves'!$A$2:$A$46,1),1))))+(F42-INDEX('Earth curves'!$A$2:$A$46,MAX(1,MIN(44,IFERROR(MATCH(F42,'Earth curves'!$A$2:$A$46,1),1)))))*(INDEX('Earth curves'!$B$2:$B$46,MAX(1,MIN(44,IFERROR(MATCH(F42,'Earth curves'!$A$2:$A$46,1),1)))+1)-INDEX('Earth curves'!$B$2:$B$46,MAX(1,MIN(44,IFERROR(MATCH(F42,'Earth curves'!$A$2:$A$46,1),1)))))/(INDEX('Earth curves'!$A$2:$A$46,MAX(1,MIN(44,IFERROR(MATCH(F42,'Earth curves'!$A$2:$A$46,1),1)))+1)-INDEX('Earth curves'!$A$2:$A$46,MAX(1,MIN(44,IFERROR(MATCH(F42,'Earth curves'!$A$2:$A$46,1),1))))))</f>
        <v/>
      </c>
      <c r="R42" s="6">
        <f>(INDEX('Earth curves'!$C$2:$C$46,MAX(1,MIN(44,IFERROR(MATCH(F42,'Earth curves'!$A$2:$A$46,1),1))))+(F42-INDEX('Earth curves'!$A$2:$A$46,MAX(1,MIN(44,IFERROR(MATCH(F42,'Earth curves'!$A$2:$A$46,1),1)))))*(INDEX('Earth curves'!$C$2:$C$46,MAX(1,MIN(44,IFERROR(MATCH(F42,'Earth curves'!$A$2:$A$46,1),1)))+1)-INDEX('Earth curves'!$C$2:$C$46,MAX(1,MIN(44,IFERROR(MATCH(F42,'Earth curves'!$A$2:$A$46,1),1)))))/(INDEX('Earth curves'!$A$2:$A$46,MAX(1,MIN(44,IFERROR(MATCH(F42,'Earth curves'!$A$2:$A$46,1),1)))+1)-INDEX('Earth curves'!$A$2:$A$46,MAX(1,MIN(44,IFERROR(MATCH(F42,'Earth curves'!$A$2:$A$46,1),1))))))</f>
        <v/>
      </c>
      <c r="S42" s="6">
        <f>MEDIAN(0.307692,Q42+MEDIAN(-0.350583,O42+NORMSINV(H42)*0.064828*Config!$B$3,0.120277),0.993846)</f>
        <v/>
      </c>
      <c r="T42" s="10">
        <f>ROUND(Config!$B$7+(Config!$B$8-Config!$B$7)*S42,1)</f>
        <v/>
      </c>
      <c r="U42" s="11" t="n"/>
      <c r="V42" s="10">
        <f>IF(U42="",T42,U42)</f>
        <v/>
      </c>
      <c r="W42" s="6">
        <f>MEDIAN(0.05,R42+MEDIAN(-0.302219,P42+NORMSINV(I42)*0.089531*Config!$B$3,0.274961),0.999)</f>
        <v/>
      </c>
      <c r="X42" s="6">
        <f>(INDEX('Earth curves'!$F$2:$F$46,MAX(1,MIN(44,IFERROR(MATCH(W42,'Earth curves'!$E$2:$E$46,1),1))))+(W42-INDEX('Earth curves'!$E$2:$E$46,MAX(1,MIN(44,IFERROR(MATCH(W42,'Earth curves'!$E$2:$E$46,1),1)))))*(INDEX('Earth curves'!$F$2:$F$46,MAX(1,MIN(44,IFERROR(MATCH(W42,'Earth curves'!$E$2:$E$46,1),1)))+1)-INDEX('Earth curves'!$F$2:$F$46,MAX(1,MIN(44,IFERROR(MATCH(W42,'Earth curves'!$E$2:$E$46,1),1)))))/(INDEX('Earth curves'!$E$2:$E$46,MAX(1,MIN(44,IFERROR(MATCH(W42,'Earth curves'!$E$2:$E$46,1),1)))+1)-INDEX('Earth curves'!$E$2:$E$46,MAX(1,MIN(44,IFERROR(MATCH(W42,'Earth curves'!$E$2:$E$46,1),1))))))</f>
        <v/>
      </c>
      <c r="Y42" s="6">
        <f>(INDEX('Earth curves'!$G$2:$G$46,MAX(1,MIN(44,IFERROR(MATCH(W42,'Earth curves'!$E$2:$E$46,1),1))))+(W42-INDEX('Earth curves'!$E$2:$E$46,MAX(1,MIN(44,IFERROR(MATCH(W42,'Earth curves'!$E$2:$E$46,1),1)))))*(INDEX('Earth curves'!$G$2:$G$46,MAX(1,MIN(44,IFERROR(MATCH(W42,'Earth curves'!$E$2:$E$46,1),1)))+1)-INDEX('Earth curves'!$G$2:$G$46,MAX(1,MIN(44,IFERROR(MATCH(W42,'Earth curves'!$E$2:$E$46,1),1)))))/(INDEX('Earth curves'!$E$2:$E$46,MAX(1,MIN(44,IFERROR(MATCH(W42,'Earth curves'!$E$2:$E$46,1),1)))+1)-INDEX('Earth curves'!$E$2:$E$46,MAX(1,MIN(44,IFERROR(MATCH(W42,'Earth curves'!$E$2:$E$46,1),1))))))</f>
        <v/>
      </c>
      <c r="Z42" s="6">
        <f>(MIN(X42/Config!$B$9,1)+MIN(Y42/Config!$B$10,1))/2</f>
        <v/>
      </c>
      <c r="AA42" s="10">
        <f>ROUND(MIN(22,MAX(3,X42*W42/Z42)),1)</f>
        <v/>
      </c>
      <c r="AB42" s="11" t="n"/>
      <c r="AC42" s="10">
        <f>IF(AB42="",AA42,AB42)</f>
        <v/>
      </c>
      <c r="AD42" s="10">
        <f>ROUND(MIN(Config!$B$10,MAX(1,Y42*W42/Z42)),1)</f>
        <v/>
      </c>
      <c r="AE42" s="11" t="n"/>
      <c r="AF42" s="10">
        <f>IF(AE42="",AD42,AE42)</f>
        <v/>
      </c>
      <c r="AG42" s="9">
        <f>(V42-Config!$B$7)/(Config!$B$8-Config!$B$7)</f>
        <v/>
      </c>
      <c r="AH42" s="9">
        <f>(MIN(AC42/Config!$B$9,1)+MIN(AF42/Config!$B$10,1))/2</f>
        <v/>
      </c>
      <c r="AI42" s="12">
        <f>ROUND((AG42*AH42*G42)^(1/3),3)</f>
        <v/>
      </c>
      <c r="AJ42" s="12" t="n">
        <v>0.673</v>
      </c>
      <c r="AK42" s="13">
        <f>AI42-AJ42</f>
        <v/>
      </c>
      <c r="AL42" s="13">
        <f>AK42-AVERAGE($AK$2:$AK$173)</f>
        <v/>
      </c>
      <c r="AM42" s="6">
        <f>IF(ABS(AL42)&gt;Config!$B$11,"REVIEW","")</f>
        <v/>
      </c>
      <c r="AN42" s="14">
        <f>RANK(AI42,$AI$2:$AI$173)</f>
        <v/>
      </c>
      <c r="AO42" s="14">
        <f>RANK(AJ42,$AJ$2:$AJ$173)</f>
        <v/>
      </c>
      <c r="AP42" s="14" t="n">
        <v>42</v>
      </c>
    </row>
    <row r="43">
      <c r="A43" s="6" t="inlineStr">
        <is>
          <t>Far Lands</t>
        </is>
      </c>
      <c r="B43" s="6" t="inlineStr">
        <is>
          <t>Quia</t>
        </is>
      </c>
      <c r="C43" s="6" t="inlineStr">
        <is>
          <t>militarised, resource</t>
        </is>
      </c>
      <c r="D43" s="7" t="n">
        <v>1238</v>
      </c>
      <c r="E43" s="8">
        <f>D43*Config!$B$4</f>
        <v/>
      </c>
      <c r="F43" s="6">
        <f>LN(MAX(60,E43))</f>
        <v/>
      </c>
      <c r="G43" s="9">
        <f>MEDIAN(0,(F43-LN(Config!$B$5))/(LN(Config!$B$6)-LN(Config!$B$5)),1)</f>
        <v/>
      </c>
      <c r="H43" s="6">
        <f>MOD((Config!$B$2+$AP43*7919)*9301+49297,233280)/233280</f>
        <v/>
      </c>
      <c r="I43" s="6">
        <f>MOD((Config!$B$2+$AP43*104729)*4096+150889,714025)/714025</f>
        <v/>
      </c>
      <c r="J43" s="6">
        <f>MOD((Config!$B$2*31+$AP43*15485863)*1366+150889,714025)/714025</f>
        <v/>
      </c>
      <c r="K43" s="6" t="n"/>
      <c r="L43" s="6" t="n"/>
      <c r="M43" s="6">
        <f>COUNTIF(Siblings!$A$2:$A$84,B43)</f>
        <v/>
      </c>
      <c r="N43" s="6">
        <f>1+INT(J43*M43)</f>
        <v/>
      </c>
      <c r="O43" s="6">
        <f>IF(K43&lt;&gt;"",K43,IFERROR(INDEX(Siblings!$D$2:$D$84,MATCH(B43&amp;"|"&amp;N43,Siblings!$F$2:$F$84,0)),0))</f>
        <v/>
      </c>
      <c r="P43" s="6">
        <f>IF(L43&lt;&gt;"",L43,IFERROR(INDEX(Siblings!$E$2:$E$84,MATCH(B43&amp;"|"&amp;N43,Siblings!$F$2:$F$84,0)),0))</f>
        <v/>
      </c>
      <c r="Q43" s="6">
        <f>(INDEX('Earth curves'!$B$2:$B$46,MAX(1,MIN(44,IFERROR(MATCH(F43,'Earth curves'!$A$2:$A$46,1),1))))+(F43-INDEX('Earth curves'!$A$2:$A$46,MAX(1,MIN(44,IFERROR(MATCH(F43,'Earth curves'!$A$2:$A$46,1),1)))))*(INDEX('Earth curves'!$B$2:$B$46,MAX(1,MIN(44,IFERROR(MATCH(F43,'Earth curves'!$A$2:$A$46,1),1)))+1)-INDEX('Earth curves'!$B$2:$B$46,MAX(1,MIN(44,IFERROR(MATCH(F43,'Earth curves'!$A$2:$A$46,1),1)))))/(INDEX('Earth curves'!$A$2:$A$46,MAX(1,MIN(44,IFERROR(MATCH(F43,'Earth curves'!$A$2:$A$46,1),1)))+1)-INDEX('Earth curves'!$A$2:$A$46,MAX(1,MIN(44,IFERROR(MATCH(F43,'Earth curves'!$A$2:$A$46,1),1))))))</f>
        <v/>
      </c>
      <c r="R43" s="6">
        <f>(INDEX('Earth curves'!$C$2:$C$46,MAX(1,MIN(44,IFERROR(MATCH(F43,'Earth curves'!$A$2:$A$46,1),1))))+(F43-INDEX('Earth curves'!$A$2:$A$46,MAX(1,MIN(44,IFERROR(MATCH(F43,'Earth curves'!$A$2:$A$46,1),1)))))*(INDEX('Earth curves'!$C$2:$C$46,MAX(1,MIN(44,IFERROR(MATCH(F43,'Earth curves'!$A$2:$A$46,1),1)))+1)-INDEX('Earth curves'!$C$2:$C$46,MAX(1,MIN(44,IFERROR(MATCH(F43,'Earth curves'!$A$2:$A$46,1),1)))))/(INDEX('Earth curves'!$A$2:$A$46,MAX(1,MIN(44,IFERROR(MATCH(F43,'Earth curves'!$A$2:$A$46,1),1)))+1)-INDEX('Earth curves'!$A$2:$A$46,MAX(1,MIN(44,IFERROR(MATCH(F43,'Earth curves'!$A$2:$A$46,1),1))))))</f>
        <v/>
      </c>
      <c r="S43" s="6">
        <f>MEDIAN(0.307692,Q43+MEDIAN(-0.350583,O43+NORMSINV(H43)*0.064828*Config!$B$3,0.120277),0.993846)</f>
        <v/>
      </c>
      <c r="T43" s="10">
        <f>ROUND(Config!$B$7+(Config!$B$8-Config!$B$7)*S43,1)</f>
        <v/>
      </c>
      <c r="U43" s="11" t="n"/>
      <c r="V43" s="10">
        <f>IF(U43="",T43,U43)</f>
        <v/>
      </c>
      <c r="W43" s="6">
        <f>MEDIAN(0.05,R43+MEDIAN(-0.302219,P43+NORMSINV(I43)*0.089531*Config!$B$3,0.274961),0.999)</f>
        <v/>
      </c>
      <c r="X43" s="6">
        <f>(INDEX('Earth curves'!$F$2:$F$46,MAX(1,MIN(44,IFERROR(MATCH(W43,'Earth curves'!$E$2:$E$46,1),1))))+(W43-INDEX('Earth curves'!$E$2:$E$46,MAX(1,MIN(44,IFERROR(MATCH(W43,'Earth curves'!$E$2:$E$46,1),1)))))*(INDEX('Earth curves'!$F$2:$F$46,MAX(1,MIN(44,IFERROR(MATCH(W43,'Earth curves'!$E$2:$E$46,1),1)))+1)-INDEX('Earth curves'!$F$2:$F$46,MAX(1,MIN(44,IFERROR(MATCH(W43,'Earth curves'!$E$2:$E$46,1),1)))))/(INDEX('Earth curves'!$E$2:$E$46,MAX(1,MIN(44,IFERROR(MATCH(W43,'Earth curves'!$E$2:$E$46,1),1)))+1)-INDEX('Earth curves'!$E$2:$E$46,MAX(1,MIN(44,IFERROR(MATCH(W43,'Earth curves'!$E$2:$E$46,1),1))))))</f>
        <v/>
      </c>
      <c r="Y43" s="6">
        <f>(INDEX('Earth curves'!$G$2:$G$46,MAX(1,MIN(44,IFERROR(MATCH(W43,'Earth curves'!$E$2:$E$46,1),1))))+(W43-INDEX('Earth curves'!$E$2:$E$46,MAX(1,MIN(44,IFERROR(MATCH(W43,'Earth curves'!$E$2:$E$46,1),1)))))*(INDEX('Earth curves'!$G$2:$G$46,MAX(1,MIN(44,IFERROR(MATCH(W43,'Earth curves'!$E$2:$E$46,1),1)))+1)-INDEX('Earth curves'!$G$2:$G$46,MAX(1,MIN(44,IFERROR(MATCH(W43,'Earth curves'!$E$2:$E$46,1),1)))))/(INDEX('Earth curves'!$E$2:$E$46,MAX(1,MIN(44,IFERROR(MATCH(W43,'Earth curves'!$E$2:$E$46,1),1)))+1)-INDEX('Earth curves'!$E$2:$E$46,MAX(1,MIN(44,IFERROR(MATCH(W43,'Earth curves'!$E$2:$E$46,1),1))))))</f>
        <v/>
      </c>
      <c r="Z43" s="6">
        <f>(MIN(X43/Config!$B$9,1)+MIN(Y43/Config!$B$10,1))/2</f>
        <v/>
      </c>
      <c r="AA43" s="10">
        <f>ROUND(MIN(22,MAX(3,X43*W43/Z43)),1)</f>
        <v/>
      </c>
      <c r="AB43" s="11" t="n"/>
      <c r="AC43" s="10">
        <f>IF(AB43="",AA43,AB43)</f>
        <v/>
      </c>
      <c r="AD43" s="10">
        <f>ROUND(MIN(Config!$B$10,MAX(1,Y43*W43/Z43)),1)</f>
        <v/>
      </c>
      <c r="AE43" s="11" t="n"/>
      <c r="AF43" s="10">
        <f>IF(AE43="",AD43,AE43)</f>
        <v/>
      </c>
      <c r="AG43" s="9">
        <f>(V43-Config!$B$7)/(Config!$B$8-Config!$B$7)</f>
        <v/>
      </c>
      <c r="AH43" s="9">
        <f>(MIN(AC43/Config!$B$9,1)+MIN(AF43/Config!$B$10,1))/2</f>
        <v/>
      </c>
      <c r="AI43" s="12">
        <f>ROUND((AG43*AH43*G43)^(1/3),3)</f>
        <v/>
      </c>
      <c r="AJ43" s="12" t="n">
        <v>0.463</v>
      </c>
      <c r="AK43" s="13">
        <f>AI43-AJ43</f>
        <v/>
      </c>
      <c r="AL43" s="13">
        <f>AK43-AVERAGE($AK$2:$AK$173)</f>
        <v/>
      </c>
      <c r="AM43" s="6">
        <f>IF(ABS(AL43)&gt;Config!$B$11,"REVIEW","")</f>
        <v/>
      </c>
      <c r="AN43" s="14">
        <f>RANK(AI43,$AI$2:$AI$173)</f>
        <v/>
      </c>
      <c r="AO43" s="14">
        <f>RANK(AJ43,$AJ$2:$AJ$173)</f>
        <v/>
      </c>
      <c r="AP43" s="14" t="n">
        <v>43</v>
      </c>
    </row>
    <row r="44">
      <c r="A44" s="6" t="inlineStr">
        <is>
          <t>Feio Lie</t>
        </is>
      </c>
      <c r="B44" s="6" t="inlineStr">
        <is>
          <t>Acrola</t>
        </is>
      </c>
      <c r="C44" s="6" t="inlineStr">
        <is>
          <t>—</t>
        </is>
      </c>
      <c r="D44" s="7" t="n">
        <v>44444</v>
      </c>
      <c r="E44" s="8">
        <f>D44*Config!$B$4</f>
        <v/>
      </c>
      <c r="F44" s="6">
        <f>LN(MAX(60,E44))</f>
        <v/>
      </c>
      <c r="G44" s="9">
        <f>MEDIAN(0,(F44-LN(Config!$B$5))/(LN(Config!$B$6)-LN(Config!$B$5)),1)</f>
        <v/>
      </c>
      <c r="H44" s="6">
        <f>MOD((Config!$B$2+$AP44*7919)*9301+49297,233280)/233280</f>
        <v/>
      </c>
      <c r="I44" s="6">
        <f>MOD((Config!$B$2+$AP44*104729)*4096+150889,714025)/714025</f>
        <v/>
      </c>
      <c r="J44" s="6">
        <f>MOD((Config!$B$2*31+$AP44*15485863)*1366+150889,714025)/714025</f>
        <v/>
      </c>
      <c r="K44" s="6" t="n">
        <v>0.003522</v>
      </c>
      <c r="L44" s="6" t="n">
        <v>-0.190555</v>
      </c>
      <c r="M44" s="6">
        <f>COUNTIF(Siblings!$A$2:$A$84,B44)</f>
        <v/>
      </c>
      <c r="N44" s="6">
        <f>1+INT(J44*M44)</f>
        <v/>
      </c>
      <c r="O44" s="6">
        <f>IF(K44&lt;&gt;"",K44,IFERROR(INDEX(Siblings!$D$2:$D$84,MATCH(B44&amp;"|"&amp;N44,Siblings!$F$2:$F$84,0)),0))</f>
        <v/>
      </c>
      <c r="P44" s="6">
        <f>IF(L44&lt;&gt;"",L44,IFERROR(INDEX(Siblings!$E$2:$E$84,MATCH(B44&amp;"|"&amp;N44,Siblings!$F$2:$F$84,0)),0))</f>
        <v/>
      </c>
      <c r="Q44" s="6">
        <f>(INDEX('Earth curves'!$B$2:$B$46,MAX(1,MIN(44,IFERROR(MATCH(F44,'Earth curves'!$A$2:$A$46,1),1))))+(F44-INDEX('Earth curves'!$A$2:$A$46,MAX(1,MIN(44,IFERROR(MATCH(F44,'Earth curves'!$A$2:$A$46,1),1)))))*(INDEX('Earth curves'!$B$2:$B$46,MAX(1,MIN(44,IFERROR(MATCH(F44,'Earth curves'!$A$2:$A$46,1),1)))+1)-INDEX('Earth curves'!$B$2:$B$46,MAX(1,MIN(44,IFERROR(MATCH(F44,'Earth curves'!$A$2:$A$46,1),1)))))/(INDEX('Earth curves'!$A$2:$A$46,MAX(1,MIN(44,IFERROR(MATCH(F44,'Earth curves'!$A$2:$A$46,1),1)))+1)-INDEX('Earth curves'!$A$2:$A$46,MAX(1,MIN(44,IFERROR(MATCH(F44,'Earth curves'!$A$2:$A$46,1),1))))))</f>
        <v/>
      </c>
      <c r="R44" s="6">
        <f>(INDEX('Earth curves'!$C$2:$C$46,MAX(1,MIN(44,IFERROR(MATCH(F44,'Earth curves'!$A$2:$A$46,1),1))))+(F44-INDEX('Earth curves'!$A$2:$A$46,MAX(1,MIN(44,IFERROR(MATCH(F44,'Earth curves'!$A$2:$A$46,1),1)))))*(INDEX('Earth curves'!$C$2:$C$46,MAX(1,MIN(44,IFERROR(MATCH(F44,'Earth curves'!$A$2:$A$46,1),1)))+1)-INDEX('Earth curves'!$C$2:$C$46,MAX(1,MIN(44,IFERROR(MATCH(F44,'Earth curves'!$A$2:$A$46,1),1)))))/(INDEX('Earth curves'!$A$2:$A$46,MAX(1,MIN(44,IFERROR(MATCH(F44,'Earth curves'!$A$2:$A$46,1),1)))+1)-INDEX('Earth curves'!$A$2:$A$46,MAX(1,MIN(44,IFERROR(MATCH(F44,'Earth curves'!$A$2:$A$46,1),1))))))</f>
        <v/>
      </c>
      <c r="S44" s="6">
        <f>MEDIAN(0.307692,Q44+MEDIAN(-0.350583,O44+NORMSINV(H44)*0.064828*Config!$B$3,0.120277),0.993846)</f>
        <v/>
      </c>
      <c r="T44" s="10">
        <f>ROUND(Config!$B$7+(Config!$B$8-Config!$B$7)*S44,1)</f>
        <v/>
      </c>
      <c r="U44" s="11" t="n"/>
      <c r="V44" s="10">
        <f>IF(U44="",T44,U44)</f>
        <v/>
      </c>
      <c r="W44" s="6">
        <f>MEDIAN(0.05,R44+MEDIAN(-0.302219,P44+NORMSINV(I44)*0.089531*Config!$B$3,0.274961),0.999)</f>
        <v/>
      </c>
      <c r="X44" s="6">
        <f>(INDEX('Earth curves'!$F$2:$F$46,MAX(1,MIN(44,IFERROR(MATCH(W44,'Earth curves'!$E$2:$E$46,1),1))))+(W44-INDEX('Earth curves'!$E$2:$E$46,MAX(1,MIN(44,IFERROR(MATCH(W44,'Earth curves'!$E$2:$E$46,1),1)))))*(INDEX('Earth curves'!$F$2:$F$46,MAX(1,MIN(44,IFERROR(MATCH(W44,'Earth curves'!$E$2:$E$46,1),1)))+1)-INDEX('Earth curves'!$F$2:$F$46,MAX(1,MIN(44,IFERROR(MATCH(W44,'Earth curves'!$E$2:$E$46,1),1)))))/(INDEX('Earth curves'!$E$2:$E$46,MAX(1,MIN(44,IFERROR(MATCH(W44,'Earth curves'!$E$2:$E$46,1),1)))+1)-INDEX('Earth curves'!$E$2:$E$46,MAX(1,MIN(44,IFERROR(MATCH(W44,'Earth curves'!$E$2:$E$46,1),1))))))</f>
        <v/>
      </c>
      <c r="Y44" s="6">
        <f>(INDEX('Earth curves'!$G$2:$G$46,MAX(1,MIN(44,IFERROR(MATCH(W44,'Earth curves'!$E$2:$E$46,1),1))))+(W44-INDEX('Earth curves'!$E$2:$E$46,MAX(1,MIN(44,IFERROR(MATCH(W44,'Earth curves'!$E$2:$E$46,1),1)))))*(INDEX('Earth curves'!$G$2:$G$46,MAX(1,MIN(44,IFERROR(MATCH(W44,'Earth curves'!$E$2:$E$46,1),1)))+1)-INDEX('Earth curves'!$G$2:$G$46,MAX(1,MIN(44,IFERROR(MATCH(W44,'Earth curves'!$E$2:$E$46,1),1)))))/(INDEX('Earth curves'!$E$2:$E$46,MAX(1,MIN(44,IFERROR(MATCH(W44,'Earth curves'!$E$2:$E$46,1),1)))+1)-INDEX('Earth curves'!$E$2:$E$46,MAX(1,MIN(44,IFERROR(MATCH(W44,'Earth curves'!$E$2:$E$46,1),1))))))</f>
        <v/>
      </c>
      <c r="Z44" s="6">
        <f>(MIN(X44/Config!$B$9,1)+MIN(Y44/Config!$B$10,1))/2</f>
        <v/>
      </c>
      <c r="AA44" s="10">
        <f>ROUND(MIN(22,MAX(3,X44*W44/Z44)),1)</f>
        <v/>
      </c>
      <c r="AB44" s="11" t="n"/>
      <c r="AC44" s="10">
        <f>IF(AB44="",AA44,AB44)</f>
        <v/>
      </c>
      <c r="AD44" s="10">
        <f>ROUND(MIN(Config!$B$10,MAX(1,Y44*W44/Z44)),1)</f>
        <v/>
      </c>
      <c r="AE44" s="11" t="n"/>
      <c r="AF44" s="10">
        <f>IF(AE44="",AD44,AE44)</f>
        <v/>
      </c>
      <c r="AG44" s="9">
        <f>(V44-Config!$B$7)/(Config!$B$8-Config!$B$7)</f>
        <v/>
      </c>
      <c r="AH44" s="9">
        <f>(MIN(AC44/Config!$B$9,1)+MIN(AF44/Config!$B$10,1))/2</f>
        <v/>
      </c>
      <c r="AI44" s="12">
        <f>ROUND((AG44*AH44*G44)^(1/3),3)</f>
        <v/>
      </c>
      <c r="AJ44" s="12" t="n">
        <v>0.717</v>
      </c>
      <c r="AK44" s="13">
        <f>AI44-AJ44</f>
        <v/>
      </c>
      <c r="AL44" s="13">
        <f>AK44-AVERAGE($AK$2:$AK$173)</f>
        <v/>
      </c>
      <c r="AM44" s="6">
        <f>IF(ABS(AL44)&gt;Config!$B$11,"REVIEW","")</f>
        <v/>
      </c>
      <c r="AN44" s="14">
        <f>RANK(AI44,$AI$2:$AI$173)</f>
        <v/>
      </c>
      <c r="AO44" s="14">
        <f>RANK(AJ44,$AJ$2:$AJ$173)</f>
        <v/>
      </c>
      <c r="AP44" s="14" t="n">
        <v>44</v>
      </c>
    </row>
    <row r="45">
      <c r="A45" s="6" t="inlineStr">
        <is>
          <t>Fermori</t>
        </is>
      </c>
      <c r="B45" s="6" t="inlineStr">
        <is>
          <t>Ayuma</t>
        </is>
      </c>
      <c r="C45" s="6" t="inlineStr">
        <is>
          <t>resource</t>
        </is>
      </c>
      <c r="D45" s="7" t="n">
        <v>73651</v>
      </c>
      <c r="E45" s="8">
        <f>D45*Config!$B$4</f>
        <v/>
      </c>
      <c r="F45" s="6">
        <f>LN(MAX(60,E45))</f>
        <v/>
      </c>
      <c r="G45" s="9">
        <f>MEDIAN(0,(F45-LN(Config!$B$5))/(LN(Config!$B$6)-LN(Config!$B$5)),1)</f>
        <v/>
      </c>
      <c r="H45" s="6">
        <f>MOD((Config!$B$2+$AP45*7919)*9301+49297,233280)/233280</f>
        <v/>
      </c>
      <c r="I45" s="6">
        <f>MOD((Config!$B$2+$AP45*104729)*4096+150889,714025)/714025</f>
        <v/>
      </c>
      <c r="J45" s="6">
        <f>MOD((Config!$B$2*31+$AP45*15485863)*1366+150889,714025)/714025</f>
        <v/>
      </c>
      <c r="K45" s="6" t="n">
        <v>0.001128</v>
      </c>
      <c r="L45" s="6" t="n">
        <v>0.090213</v>
      </c>
      <c r="M45" s="6">
        <f>COUNTIF(Siblings!$A$2:$A$84,B45)</f>
        <v/>
      </c>
      <c r="N45" s="6">
        <f>1+INT(J45*M45)</f>
        <v/>
      </c>
      <c r="O45" s="6">
        <f>IF(K45&lt;&gt;"",K45,IFERROR(INDEX(Siblings!$D$2:$D$84,MATCH(B45&amp;"|"&amp;N45,Siblings!$F$2:$F$84,0)),0))</f>
        <v/>
      </c>
      <c r="P45" s="6">
        <f>IF(L45&lt;&gt;"",L45,IFERROR(INDEX(Siblings!$E$2:$E$84,MATCH(B45&amp;"|"&amp;N45,Siblings!$F$2:$F$84,0)),0))</f>
        <v/>
      </c>
      <c r="Q45" s="6">
        <f>(INDEX('Earth curves'!$B$2:$B$46,MAX(1,MIN(44,IFERROR(MATCH(F45,'Earth curves'!$A$2:$A$46,1),1))))+(F45-INDEX('Earth curves'!$A$2:$A$46,MAX(1,MIN(44,IFERROR(MATCH(F45,'Earth curves'!$A$2:$A$46,1),1)))))*(INDEX('Earth curves'!$B$2:$B$46,MAX(1,MIN(44,IFERROR(MATCH(F45,'Earth curves'!$A$2:$A$46,1),1)))+1)-INDEX('Earth curves'!$B$2:$B$46,MAX(1,MIN(44,IFERROR(MATCH(F45,'Earth curves'!$A$2:$A$46,1),1)))))/(INDEX('Earth curves'!$A$2:$A$46,MAX(1,MIN(44,IFERROR(MATCH(F45,'Earth curves'!$A$2:$A$46,1),1)))+1)-INDEX('Earth curves'!$A$2:$A$46,MAX(1,MIN(44,IFERROR(MATCH(F45,'Earth curves'!$A$2:$A$46,1),1))))))</f>
        <v/>
      </c>
      <c r="R45" s="6">
        <f>(INDEX('Earth curves'!$C$2:$C$46,MAX(1,MIN(44,IFERROR(MATCH(F45,'Earth curves'!$A$2:$A$46,1),1))))+(F45-INDEX('Earth curves'!$A$2:$A$46,MAX(1,MIN(44,IFERROR(MATCH(F45,'Earth curves'!$A$2:$A$46,1),1)))))*(INDEX('Earth curves'!$C$2:$C$46,MAX(1,MIN(44,IFERROR(MATCH(F45,'Earth curves'!$A$2:$A$46,1),1)))+1)-INDEX('Earth curves'!$C$2:$C$46,MAX(1,MIN(44,IFERROR(MATCH(F45,'Earth curves'!$A$2:$A$46,1),1)))))/(INDEX('Earth curves'!$A$2:$A$46,MAX(1,MIN(44,IFERROR(MATCH(F45,'Earth curves'!$A$2:$A$46,1),1)))+1)-INDEX('Earth curves'!$A$2:$A$46,MAX(1,MIN(44,IFERROR(MATCH(F45,'Earth curves'!$A$2:$A$46,1),1))))))</f>
        <v/>
      </c>
      <c r="S45" s="6">
        <f>MEDIAN(0.307692,Q45+MEDIAN(-0.350583,O45+NORMSINV(H45)*0.064828*Config!$B$3,0.120277),0.993846)</f>
        <v/>
      </c>
      <c r="T45" s="10">
        <f>ROUND(Config!$B$7+(Config!$B$8-Config!$B$7)*S45,1)</f>
        <v/>
      </c>
      <c r="U45" s="11" t="n"/>
      <c r="V45" s="10">
        <f>IF(U45="",T45,U45)</f>
        <v/>
      </c>
      <c r="W45" s="6">
        <f>MEDIAN(0.05,R45+MEDIAN(-0.302219,P45+NORMSINV(I45)*0.089531*Config!$B$3,0.274961),0.999)</f>
        <v/>
      </c>
      <c r="X45" s="6">
        <f>(INDEX('Earth curves'!$F$2:$F$46,MAX(1,MIN(44,IFERROR(MATCH(W45,'Earth curves'!$E$2:$E$46,1),1))))+(W45-INDEX('Earth curves'!$E$2:$E$46,MAX(1,MIN(44,IFERROR(MATCH(W45,'Earth curves'!$E$2:$E$46,1),1)))))*(INDEX('Earth curves'!$F$2:$F$46,MAX(1,MIN(44,IFERROR(MATCH(W45,'Earth curves'!$E$2:$E$46,1),1)))+1)-INDEX('Earth curves'!$F$2:$F$46,MAX(1,MIN(44,IFERROR(MATCH(W45,'Earth curves'!$E$2:$E$46,1),1)))))/(INDEX('Earth curves'!$E$2:$E$46,MAX(1,MIN(44,IFERROR(MATCH(W45,'Earth curves'!$E$2:$E$46,1),1)))+1)-INDEX('Earth curves'!$E$2:$E$46,MAX(1,MIN(44,IFERROR(MATCH(W45,'Earth curves'!$E$2:$E$46,1),1))))))</f>
        <v/>
      </c>
      <c r="Y45" s="6">
        <f>(INDEX('Earth curves'!$G$2:$G$46,MAX(1,MIN(44,IFERROR(MATCH(W45,'Earth curves'!$E$2:$E$46,1),1))))+(W45-INDEX('Earth curves'!$E$2:$E$46,MAX(1,MIN(44,IFERROR(MATCH(W45,'Earth curves'!$E$2:$E$46,1),1)))))*(INDEX('Earth curves'!$G$2:$G$46,MAX(1,MIN(44,IFERROR(MATCH(W45,'Earth curves'!$E$2:$E$46,1),1)))+1)-INDEX('Earth curves'!$G$2:$G$46,MAX(1,MIN(44,IFERROR(MATCH(W45,'Earth curves'!$E$2:$E$46,1),1)))))/(INDEX('Earth curves'!$E$2:$E$46,MAX(1,MIN(44,IFERROR(MATCH(W45,'Earth curves'!$E$2:$E$46,1),1)))+1)-INDEX('Earth curves'!$E$2:$E$46,MAX(1,MIN(44,IFERROR(MATCH(W45,'Earth curves'!$E$2:$E$46,1),1))))))</f>
        <v/>
      </c>
      <c r="Z45" s="6">
        <f>(MIN(X45/Config!$B$9,1)+MIN(Y45/Config!$B$10,1))/2</f>
        <v/>
      </c>
      <c r="AA45" s="10">
        <f>ROUND(MIN(22,MAX(3,X45*W45/Z45)),1)</f>
        <v/>
      </c>
      <c r="AB45" s="11" t="n"/>
      <c r="AC45" s="10">
        <f>IF(AB45="",AA45,AB45)</f>
        <v/>
      </c>
      <c r="AD45" s="10">
        <f>ROUND(MIN(Config!$B$10,MAX(1,Y45*W45/Z45)),1)</f>
        <v/>
      </c>
      <c r="AE45" s="11" t="n"/>
      <c r="AF45" s="10">
        <f>IF(AE45="",AD45,AE45)</f>
        <v/>
      </c>
      <c r="AG45" s="9">
        <f>(V45-Config!$B$7)/(Config!$B$8-Config!$B$7)</f>
        <v/>
      </c>
      <c r="AH45" s="9">
        <f>(MIN(AC45/Config!$B$9,1)+MIN(AF45/Config!$B$10,1))/2</f>
        <v/>
      </c>
      <c r="AI45" s="12">
        <f>ROUND((AG45*AH45*G45)^(1/3),3)</f>
        <v/>
      </c>
      <c r="AJ45" s="12" t="n">
        <v>0.895</v>
      </c>
      <c r="AK45" s="13">
        <f>AI45-AJ45</f>
        <v/>
      </c>
      <c r="AL45" s="13">
        <f>AK45-AVERAGE($AK$2:$AK$173)</f>
        <v/>
      </c>
      <c r="AM45" s="6">
        <f>IF(ABS(AL45)&gt;Config!$B$11,"REVIEW","")</f>
        <v/>
      </c>
      <c r="AN45" s="14">
        <f>RANK(AI45,$AI$2:$AI$173)</f>
        <v/>
      </c>
      <c r="AO45" s="14">
        <f>RANK(AJ45,$AJ$2:$AJ$173)</f>
        <v/>
      </c>
      <c r="AP45" s="14" t="n">
        <v>45</v>
      </c>
    </row>
    <row r="46">
      <c r="A46" s="6" t="inlineStr">
        <is>
          <t>Finae</t>
        </is>
      </c>
      <c r="B46" s="6" t="inlineStr">
        <is>
          <t>Quia</t>
        </is>
      </c>
      <c r="C46" s="6" t="inlineStr">
        <is>
          <t>resource</t>
        </is>
      </c>
      <c r="D46" s="7" t="n">
        <v>86349</v>
      </c>
      <c r="E46" s="8">
        <f>D46*Config!$B$4</f>
        <v/>
      </c>
      <c r="F46" s="6">
        <f>LN(MAX(60,E46))</f>
        <v/>
      </c>
      <c r="G46" s="9">
        <f>MEDIAN(0,(F46-LN(Config!$B$5))/(LN(Config!$B$6)-LN(Config!$B$5)),1)</f>
        <v/>
      </c>
      <c r="H46" s="6">
        <f>MOD((Config!$B$2+$AP46*7919)*9301+49297,233280)/233280</f>
        <v/>
      </c>
      <c r="I46" s="6">
        <f>MOD((Config!$B$2+$AP46*104729)*4096+150889,714025)/714025</f>
        <v/>
      </c>
      <c r="J46" s="6">
        <f>MOD((Config!$B$2*31+$AP46*15485863)*1366+150889,714025)/714025</f>
        <v/>
      </c>
      <c r="K46" s="6" t="n"/>
      <c r="L46" s="6" t="n"/>
      <c r="M46" s="6">
        <f>COUNTIF(Siblings!$A$2:$A$84,B46)</f>
        <v/>
      </c>
      <c r="N46" s="6">
        <f>1+INT(J46*M46)</f>
        <v/>
      </c>
      <c r="O46" s="6">
        <f>IF(K46&lt;&gt;"",K46,IFERROR(INDEX(Siblings!$D$2:$D$84,MATCH(B46&amp;"|"&amp;N46,Siblings!$F$2:$F$84,0)),0))</f>
        <v/>
      </c>
      <c r="P46" s="6">
        <f>IF(L46&lt;&gt;"",L46,IFERROR(INDEX(Siblings!$E$2:$E$84,MATCH(B46&amp;"|"&amp;N46,Siblings!$F$2:$F$84,0)),0))</f>
        <v/>
      </c>
      <c r="Q46" s="6">
        <f>(INDEX('Earth curves'!$B$2:$B$46,MAX(1,MIN(44,IFERROR(MATCH(F46,'Earth curves'!$A$2:$A$46,1),1))))+(F46-INDEX('Earth curves'!$A$2:$A$46,MAX(1,MIN(44,IFERROR(MATCH(F46,'Earth curves'!$A$2:$A$46,1),1)))))*(INDEX('Earth curves'!$B$2:$B$46,MAX(1,MIN(44,IFERROR(MATCH(F46,'Earth curves'!$A$2:$A$46,1),1)))+1)-INDEX('Earth curves'!$B$2:$B$46,MAX(1,MIN(44,IFERROR(MATCH(F46,'Earth curves'!$A$2:$A$46,1),1)))))/(INDEX('Earth curves'!$A$2:$A$46,MAX(1,MIN(44,IFERROR(MATCH(F46,'Earth curves'!$A$2:$A$46,1),1)))+1)-INDEX('Earth curves'!$A$2:$A$46,MAX(1,MIN(44,IFERROR(MATCH(F46,'Earth curves'!$A$2:$A$46,1),1))))))</f>
        <v/>
      </c>
      <c r="R46" s="6">
        <f>(INDEX('Earth curves'!$C$2:$C$46,MAX(1,MIN(44,IFERROR(MATCH(F46,'Earth curves'!$A$2:$A$46,1),1))))+(F46-INDEX('Earth curves'!$A$2:$A$46,MAX(1,MIN(44,IFERROR(MATCH(F46,'Earth curves'!$A$2:$A$46,1),1)))))*(INDEX('Earth curves'!$C$2:$C$46,MAX(1,MIN(44,IFERROR(MATCH(F46,'Earth curves'!$A$2:$A$46,1),1)))+1)-INDEX('Earth curves'!$C$2:$C$46,MAX(1,MIN(44,IFERROR(MATCH(F46,'Earth curves'!$A$2:$A$46,1),1)))))/(INDEX('Earth curves'!$A$2:$A$46,MAX(1,MIN(44,IFERROR(MATCH(F46,'Earth curves'!$A$2:$A$46,1),1)))+1)-INDEX('Earth curves'!$A$2:$A$46,MAX(1,MIN(44,IFERROR(MATCH(F46,'Earth curves'!$A$2:$A$46,1),1))))))</f>
        <v/>
      </c>
      <c r="S46" s="6">
        <f>MEDIAN(0.307692,Q46+MEDIAN(-0.350583,O46+NORMSINV(H46)*0.064828*Config!$B$3,0.120277),0.993846)</f>
        <v/>
      </c>
      <c r="T46" s="10">
        <f>ROUND(Config!$B$7+(Config!$B$8-Config!$B$7)*S46,1)</f>
        <v/>
      </c>
      <c r="U46" s="11" t="n"/>
      <c r="V46" s="10">
        <f>IF(U46="",T46,U46)</f>
        <v/>
      </c>
      <c r="W46" s="6">
        <f>MEDIAN(0.05,R46+MEDIAN(-0.302219,P46+NORMSINV(I46)*0.089531*Config!$B$3,0.274961),0.999)</f>
        <v/>
      </c>
      <c r="X46" s="6">
        <f>(INDEX('Earth curves'!$F$2:$F$46,MAX(1,MIN(44,IFERROR(MATCH(W46,'Earth curves'!$E$2:$E$46,1),1))))+(W46-INDEX('Earth curves'!$E$2:$E$46,MAX(1,MIN(44,IFERROR(MATCH(W46,'Earth curves'!$E$2:$E$46,1),1)))))*(INDEX('Earth curves'!$F$2:$F$46,MAX(1,MIN(44,IFERROR(MATCH(W46,'Earth curves'!$E$2:$E$46,1),1)))+1)-INDEX('Earth curves'!$F$2:$F$46,MAX(1,MIN(44,IFERROR(MATCH(W46,'Earth curves'!$E$2:$E$46,1),1)))))/(INDEX('Earth curves'!$E$2:$E$46,MAX(1,MIN(44,IFERROR(MATCH(W46,'Earth curves'!$E$2:$E$46,1),1)))+1)-INDEX('Earth curves'!$E$2:$E$46,MAX(1,MIN(44,IFERROR(MATCH(W46,'Earth curves'!$E$2:$E$46,1),1))))))</f>
        <v/>
      </c>
      <c r="Y46" s="6">
        <f>(INDEX('Earth curves'!$G$2:$G$46,MAX(1,MIN(44,IFERROR(MATCH(W46,'Earth curves'!$E$2:$E$46,1),1))))+(W46-INDEX('Earth curves'!$E$2:$E$46,MAX(1,MIN(44,IFERROR(MATCH(W46,'Earth curves'!$E$2:$E$46,1),1)))))*(INDEX('Earth curves'!$G$2:$G$46,MAX(1,MIN(44,IFERROR(MATCH(W46,'Earth curves'!$E$2:$E$46,1),1)))+1)-INDEX('Earth curves'!$G$2:$G$46,MAX(1,MIN(44,IFERROR(MATCH(W46,'Earth curves'!$E$2:$E$46,1),1)))))/(INDEX('Earth curves'!$E$2:$E$46,MAX(1,MIN(44,IFERROR(MATCH(W46,'Earth curves'!$E$2:$E$46,1),1)))+1)-INDEX('Earth curves'!$E$2:$E$46,MAX(1,MIN(44,IFERROR(MATCH(W46,'Earth curves'!$E$2:$E$46,1),1))))))</f>
        <v/>
      </c>
      <c r="Z46" s="6">
        <f>(MIN(X46/Config!$B$9,1)+MIN(Y46/Config!$B$10,1))/2</f>
        <v/>
      </c>
      <c r="AA46" s="10">
        <f>ROUND(MIN(22,MAX(3,X46*W46/Z46)),1)</f>
        <v/>
      </c>
      <c r="AB46" s="11" t="n"/>
      <c r="AC46" s="10">
        <f>IF(AB46="",AA46,AB46)</f>
        <v/>
      </c>
      <c r="AD46" s="10">
        <f>ROUND(MIN(Config!$B$10,MAX(1,Y46*W46/Z46)),1)</f>
        <v/>
      </c>
      <c r="AE46" s="11" t="n"/>
      <c r="AF46" s="10">
        <f>IF(AE46="",AD46,AE46)</f>
        <v/>
      </c>
      <c r="AG46" s="9">
        <f>(V46-Config!$B$7)/(Config!$B$8-Config!$B$7)</f>
        <v/>
      </c>
      <c r="AH46" s="9">
        <f>(MIN(AC46/Config!$B$9,1)+MIN(AF46/Config!$B$10,1))/2</f>
        <v/>
      </c>
      <c r="AI46" s="12">
        <f>ROUND((AG46*AH46*G46)^(1/3),3)</f>
        <v/>
      </c>
      <c r="AJ46" s="12" t="n">
        <v>0.829</v>
      </c>
      <c r="AK46" s="13">
        <f>AI46-AJ46</f>
        <v/>
      </c>
      <c r="AL46" s="13">
        <f>AK46-AVERAGE($AK$2:$AK$173)</f>
        <v/>
      </c>
      <c r="AM46" s="6">
        <f>IF(ABS(AL46)&gt;Config!$B$11,"REVIEW","")</f>
        <v/>
      </c>
      <c r="AN46" s="14">
        <f>RANK(AI46,$AI$2:$AI$173)</f>
        <v/>
      </c>
      <c r="AO46" s="14">
        <f>RANK(AJ46,$AJ$2:$AJ$173)</f>
        <v/>
      </c>
      <c r="AP46" s="14" t="n">
        <v>46</v>
      </c>
    </row>
    <row r="47">
      <c r="A47" s="6" t="inlineStr">
        <is>
          <t>Fincen</t>
        </is>
      </c>
      <c r="B47" s="6" t="inlineStr">
        <is>
          <t>Atirha</t>
        </is>
      </c>
      <c r="C47" s="6" t="inlineStr">
        <is>
          <t>resource</t>
        </is>
      </c>
      <c r="D47" s="7" t="n">
        <v>102857</v>
      </c>
      <c r="E47" s="8">
        <f>D47*Config!$B$4</f>
        <v/>
      </c>
      <c r="F47" s="6">
        <f>LN(MAX(60,E47))</f>
        <v/>
      </c>
      <c r="G47" s="9">
        <f>MEDIAN(0,(F47-LN(Config!$B$5))/(LN(Config!$B$6)-LN(Config!$B$5)),1)</f>
        <v/>
      </c>
      <c r="H47" s="6">
        <f>MOD((Config!$B$2+$AP47*7919)*9301+49297,233280)/233280</f>
        <v/>
      </c>
      <c r="I47" s="6">
        <f>MOD((Config!$B$2+$AP47*104729)*4096+150889,714025)/714025</f>
        <v/>
      </c>
      <c r="J47" s="6">
        <f>MOD((Config!$B$2*31+$AP47*15485863)*1366+150889,714025)/714025</f>
        <v/>
      </c>
      <c r="K47" s="6" t="n">
        <v>0.09897</v>
      </c>
      <c r="L47" s="6" t="n">
        <v>-0.039546</v>
      </c>
      <c r="M47" s="6">
        <f>COUNTIF(Siblings!$A$2:$A$84,B47)</f>
        <v/>
      </c>
      <c r="N47" s="6">
        <f>1+INT(J47*M47)</f>
        <v/>
      </c>
      <c r="O47" s="6">
        <f>IF(K47&lt;&gt;"",K47,IFERROR(INDEX(Siblings!$D$2:$D$84,MATCH(B47&amp;"|"&amp;N47,Siblings!$F$2:$F$84,0)),0))</f>
        <v/>
      </c>
      <c r="P47" s="6">
        <f>IF(L47&lt;&gt;"",L47,IFERROR(INDEX(Siblings!$E$2:$E$84,MATCH(B47&amp;"|"&amp;N47,Siblings!$F$2:$F$84,0)),0))</f>
        <v/>
      </c>
      <c r="Q47" s="6">
        <f>(INDEX('Earth curves'!$B$2:$B$46,MAX(1,MIN(44,IFERROR(MATCH(F47,'Earth curves'!$A$2:$A$46,1),1))))+(F47-INDEX('Earth curves'!$A$2:$A$46,MAX(1,MIN(44,IFERROR(MATCH(F47,'Earth curves'!$A$2:$A$46,1),1)))))*(INDEX('Earth curves'!$B$2:$B$46,MAX(1,MIN(44,IFERROR(MATCH(F47,'Earth curves'!$A$2:$A$46,1),1)))+1)-INDEX('Earth curves'!$B$2:$B$46,MAX(1,MIN(44,IFERROR(MATCH(F47,'Earth curves'!$A$2:$A$46,1),1)))))/(INDEX('Earth curves'!$A$2:$A$46,MAX(1,MIN(44,IFERROR(MATCH(F47,'Earth curves'!$A$2:$A$46,1),1)))+1)-INDEX('Earth curves'!$A$2:$A$46,MAX(1,MIN(44,IFERROR(MATCH(F47,'Earth curves'!$A$2:$A$46,1),1))))))</f>
        <v/>
      </c>
      <c r="R47" s="6">
        <f>(INDEX('Earth curves'!$C$2:$C$46,MAX(1,MIN(44,IFERROR(MATCH(F47,'Earth curves'!$A$2:$A$46,1),1))))+(F47-INDEX('Earth curves'!$A$2:$A$46,MAX(1,MIN(44,IFERROR(MATCH(F47,'Earth curves'!$A$2:$A$46,1),1)))))*(INDEX('Earth curves'!$C$2:$C$46,MAX(1,MIN(44,IFERROR(MATCH(F47,'Earth curves'!$A$2:$A$46,1),1)))+1)-INDEX('Earth curves'!$C$2:$C$46,MAX(1,MIN(44,IFERROR(MATCH(F47,'Earth curves'!$A$2:$A$46,1),1)))))/(INDEX('Earth curves'!$A$2:$A$46,MAX(1,MIN(44,IFERROR(MATCH(F47,'Earth curves'!$A$2:$A$46,1),1)))+1)-INDEX('Earth curves'!$A$2:$A$46,MAX(1,MIN(44,IFERROR(MATCH(F47,'Earth curves'!$A$2:$A$46,1),1))))))</f>
        <v/>
      </c>
      <c r="S47" s="6">
        <f>MEDIAN(0.307692,Q47+MEDIAN(-0.350583,O47+NORMSINV(H47)*0.064828*Config!$B$3,0.120277),0.993846)</f>
        <v/>
      </c>
      <c r="T47" s="10">
        <f>ROUND(Config!$B$7+(Config!$B$8-Config!$B$7)*S47,1)</f>
        <v/>
      </c>
      <c r="U47" s="11" t="n"/>
      <c r="V47" s="10">
        <f>IF(U47="",T47,U47)</f>
        <v/>
      </c>
      <c r="W47" s="6">
        <f>MEDIAN(0.05,R47+MEDIAN(-0.302219,P47+NORMSINV(I47)*0.089531*Config!$B$3,0.274961),0.999)</f>
        <v/>
      </c>
      <c r="X47" s="6">
        <f>(INDEX('Earth curves'!$F$2:$F$46,MAX(1,MIN(44,IFERROR(MATCH(W47,'Earth curves'!$E$2:$E$46,1),1))))+(W47-INDEX('Earth curves'!$E$2:$E$46,MAX(1,MIN(44,IFERROR(MATCH(W47,'Earth curves'!$E$2:$E$46,1),1)))))*(INDEX('Earth curves'!$F$2:$F$46,MAX(1,MIN(44,IFERROR(MATCH(W47,'Earth curves'!$E$2:$E$46,1),1)))+1)-INDEX('Earth curves'!$F$2:$F$46,MAX(1,MIN(44,IFERROR(MATCH(W47,'Earth curves'!$E$2:$E$46,1),1)))))/(INDEX('Earth curves'!$E$2:$E$46,MAX(1,MIN(44,IFERROR(MATCH(W47,'Earth curves'!$E$2:$E$46,1),1)))+1)-INDEX('Earth curves'!$E$2:$E$46,MAX(1,MIN(44,IFERROR(MATCH(W47,'Earth curves'!$E$2:$E$46,1),1))))))</f>
        <v/>
      </c>
      <c r="Y47" s="6">
        <f>(INDEX('Earth curves'!$G$2:$G$46,MAX(1,MIN(44,IFERROR(MATCH(W47,'Earth curves'!$E$2:$E$46,1),1))))+(W47-INDEX('Earth curves'!$E$2:$E$46,MAX(1,MIN(44,IFERROR(MATCH(W47,'Earth curves'!$E$2:$E$46,1),1)))))*(INDEX('Earth curves'!$G$2:$G$46,MAX(1,MIN(44,IFERROR(MATCH(W47,'Earth curves'!$E$2:$E$46,1),1)))+1)-INDEX('Earth curves'!$G$2:$G$46,MAX(1,MIN(44,IFERROR(MATCH(W47,'Earth curves'!$E$2:$E$46,1),1)))))/(INDEX('Earth curves'!$E$2:$E$46,MAX(1,MIN(44,IFERROR(MATCH(W47,'Earth curves'!$E$2:$E$46,1),1)))+1)-INDEX('Earth curves'!$E$2:$E$46,MAX(1,MIN(44,IFERROR(MATCH(W47,'Earth curves'!$E$2:$E$46,1),1))))))</f>
        <v/>
      </c>
      <c r="Z47" s="6">
        <f>(MIN(X47/Config!$B$9,1)+MIN(Y47/Config!$B$10,1))/2</f>
        <v/>
      </c>
      <c r="AA47" s="10">
        <f>ROUND(MIN(22,MAX(3,X47*W47/Z47)),1)</f>
        <v/>
      </c>
      <c r="AB47" s="11" t="n"/>
      <c r="AC47" s="10">
        <f>IF(AB47="",AA47,AB47)</f>
        <v/>
      </c>
      <c r="AD47" s="10">
        <f>ROUND(MIN(Config!$B$10,MAX(1,Y47*W47/Z47)),1)</f>
        <v/>
      </c>
      <c r="AE47" s="11" t="n"/>
      <c r="AF47" s="10">
        <f>IF(AE47="",AD47,AE47)</f>
        <v/>
      </c>
      <c r="AG47" s="9">
        <f>(V47-Config!$B$7)/(Config!$B$8-Config!$B$7)</f>
        <v/>
      </c>
      <c r="AH47" s="9">
        <f>(MIN(AC47/Config!$B$9,1)+MIN(AF47/Config!$B$10,1))/2</f>
        <v/>
      </c>
      <c r="AI47" s="12">
        <f>ROUND((AG47*AH47*G47)^(1/3),3)</f>
        <v/>
      </c>
      <c r="AJ47" s="12" t="n">
        <v>0.9389999999999999</v>
      </c>
      <c r="AK47" s="13">
        <f>AI47-AJ47</f>
        <v/>
      </c>
      <c r="AL47" s="13">
        <f>AK47-AVERAGE($AK$2:$AK$173)</f>
        <v/>
      </c>
      <c r="AM47" s="6">
        <f>IF(ABS(AL47)&gt;Config!$B$11,"REVIEW","")</f>
        <v/>
      </c>
      <c r="AN47" s="14">
        <f>RANK(AI47,$AI$2:$AI$173)</f>
        <v/>
      </c>
      <c r="AO47" s="14">
        <f>RANK(AJ47,$AJ$2:$AJ$173)</f>
        <v/>
      </c>
      <c r="AP47" s="14" t="n">
        <v>47</v>
      </c>
    </row>
    <row r="48">
      <c r="A48" s="6" t="inlineStr">
        <is>
          <t>Fire Coast</t>
        </is>
      </c>
      <c r="B48" s="6" t="inlineStr">
        <is>
          <t>Acrola</t>
        </is>
      </c>
      <c r="C48" s="6" t="inlineStr">
        <is>
          <t>resource</t>
        </is>
      </c>
      <c r="D48" s="7" t="n">
        <v>28254</v>
      </c>
      <c r="E48" s="8">
        <f>D48*Config!$B$4</f>
        <v/>
      </c>
      <c r="F48" s="6">
        <f>LN(MAX(60,E48))</f>
        <v/>
      </c>
      <c r="G48" s="9">
        <f>MEDIAN(0,(F48-LN(Config!$B$5))/(LN(Config!$B$6)-LN(Config!$B$5)),1)</f>
        <v/>
      </c>
      <c r="H48" s="6">
        <f>MOD((Config!$B$2+$AP48*7919)*9301+49297,233280)/233280</f>
        <v/>
      </c>
      <c r="I48" s="6">
        <f>MOD((Config!$B$2+$AP48*104729)*4096+150889,714025)/714025</f>
        <v/>
      </c>
      <c r="J48" s="6">
        <f>MOD((Config!$B$2*31+$AP48*15485863)*1366+150889,714025)/714025</f>
        <v/>
      </c>
      <c r="K48" s="6" t="n">
        <v>-0.047841</v>
      </c>
      <c r="L48" s="6" t="n">
        <v>-0.035323</v>
      </c>
      <c r="M48" s="6">
        <f>COUNTIF(Siblings!$A$2:$A$84,B48)</f>
        <v/>
      </c>
      <c r="N48" s="6">
        <f>1+INT(J48*M48)</f>
        <v/>
      </c>
      <c r="O48" s="6">
        <f>IF(K48&lt;&gt;"",K48,IFERROR(INDEX(Siblings!$D$2:$D$84,MATCH(B48&amp;"|"&amp;N48,Siblings!$F$2:$F$84,0)),0))</f>
        <v/>
      </c>
      <c r="P48" s="6">
        <f>IF(L48&lt;&gt;"",L48,IFERROR(INDEX(Siblings!$E$2:$E$84,MATCH(B48&amp;"|"&amp;N48,Siblings!$F$2:$F$84,0)),0))</f>
        <v/>
      </c>
      <c r="Q48" s="6">
        <f>(INDEX('Earth curves'!$B$2:$B$46,MAX(1,MIN(44,IFERROR(MATCH(F48,'Earth curves'!$A$2:$A$46,1),1))))+(F48-INDEX('Earth curves'!$A$2:$A$46,MAX(1,MIN(44,IFERROR(MATCH(F48,'Earth curves'!$A$2:$A$46,1),1)))))*(INDEX('Earth curves'!$B$2:$B$46,MAX(1,MIN(44,IFERROR(MATCH(F48,'Earth curves'!$A$2:$A$46,1),1)))+1)-INDEX('Earth curves'!$B$2:$B$46,MAX(1,MIN(44,IFERROR(MATCH(F48,'Earth curves'!$A$2:$A$46,1),1)))))/(INDEX('Earth curves'!$A$2:$A$46,MAX(1,MIN(44,IFERROR(MATCH(F48,'Earth curves'!$A$2:$A$46,1),1)))+1)-INDEX('Earth curves'!$A$2:$A$46,MAX(1,MIN(44,IFERROR(MATCH(F48,'Earth curves'!$A$2:$A$46,1),1))))))</f>
        <v/>
      </c>
      <c r="R48" s="6">
        <f>(INDEX('Earth curves'!$C$2:$C$46,MAX(1,MIN(44,IFERROR(MATCH(F48,'Earth curves'!$A$2:$A$46,1),1))))+(F48-INDEX('Earth curves'!$A$2:$A$46,MAX(1,MIN(44,IFERROR(MATCH(F48,'Earth curves'!$A$2:$A$46,1),1)))))*(INDEX('Earth curves'!$C$2:$C$46,MAX(1,MIN(44,IFERROR(MATCH(F48,'Earth curves'!$A$2:$A$46,1),1)))+1)-INDEX('Earth curves'!$C$2:$C$46,MAX(1,MIN(44,IFERROR(MATCH(F48,'Earth curves'!$A$2:$A$46,1),1)))))/(INDEX('Earth curves'!$A$2:$A$46,MAX(1,MIN(44,IFERROR(MATCH(F48,'Earth curves'!$A$2:$A$46,1),1)))+1)-INDEX('Earth curves'!$A$2:$A$46,MAX(1,MIN(44,IFERROR(MATCH(F48,'Earth curves'!$A$2:$A$46,1),1))))))</f>
        <v/>
      </c>
      <c r="S48" s="6">
        <f>MEDIAN(0.307692,Q48+MEDIAN(-0.350583,O48+NORMSINV(H48)*0.064828*Config!$B$3,0.120277),0.993846)</f>
        <v/>
      </c>
      <c r="T48" s="10">
        <f>ROUND(Config!$B$7+(Config!$B$8-Config!$B$7)*S48,1)</f>
        <v/>
      </c>
      <c r="U48" s="11" t="n"/>
      <c r="V48" s="10">
        <f>IF(U48="",T48,U48)</f>
        <v/>
      </c>
      <c r="W48" s="6">
        <f>MEDIAN(0.05,R48+MEDIAN(-0.302219,P48+NORMSINV(I48)*0.089531*Config!$B$3,0.274961),0.999)</f>
        <v/>
      </c>
      <c r="X48" s="6">
        <f>(INDEX('Earth curves'!$F$2:$F$46,MAX(1,MIN(44,IFERROR(MATCH(W48,'Earth curves'!$E$2:$E$46,1),1))))+(W48-INDEX('Earth curves'!$E$2:$E$46,MAX(1,MIN(44,IFERROR(MATCH(W48,'Earth curves'!$E$2:$E$46,1),1)))))*(INDEX('Earth curves'!$F$2:$F$46,MAX(1,MIN(44,IFERROR(MATCH(W48,'Earth curves'!$E$2:$E$46,1),1)))+1)-INDEX('Earth curves'!$F$2:$F$46,MAX(1,MIN(44,IFERROR(MATCH(W48,'Earth curves'!$E$2:$E$46,1),1)))))/(INDEX('Earth curves'!$E$2:$E$46,MAX(1,MIN(44,IFERROR(MATCH(W48,'Earth curves'!$E$2:$E$46,1),1)))+1)-INDEX('Earth curves'!$E$2:$E$46,MAX(1,MIN(44,IFERROR(MATCH(W48,'Earth curves'!$E$2:$E$46,1),1))))))</f>
        <v/>
      </c>
      <c r="Y48" s="6">
        <f>(INDEX('Earth curves'!$G$2:$G$46,MAX(1,MIN(44,IFERROR(MATCH(W48,'Earth curves'!$E$2:$E$46,1),1))))+(W48-INDEX('Earth curves'!$E$2:$E$46,MAX(1,MIN(44,IFERROR(MATCH(W48,'Earth curves'!$E$2:$E$46,1),1)))))*(INDEX('Earth curves'!$G$2:$G$46,MAX(1,MIN(44,IFERROR(MATCH(W48,'Earth curves'!$E$2:$E$46,1),1)))+1)-INDEX('Earth curves'!$G$2:$G$46,MAX(1,MIN(44,IFERROR(MATCH(W48,'Earth curves'!$E$2:$E$46,1),1)))))/(INDEX('Earth curves'!$E$2:$E$46,MAX(1,MIN(44,IFERROR(MATCH(W48,'Earth curves'!$E$2:$E$46,1),1)))+1)-INDEX('Earth curves'!$E$2:$E$46,MAX(1,MIN(44,IFERROR(MATCH(W48,'Earth curves'!$E$2:$E$46,1),1))))))</f>
        <v/>
      </c>
      <c r="Z48" s="6">
        <f>(MIN(X48/Config!$B$9,1)+MIN(Y48/Config!$B$10,1))/2</f>
        <v/>
      </c>
      <c r="AA48" s="10">
        <f>ROUND(MIN(22,MAX(3,X48*W48/Z48)),1)</f>
        <v/>
      </c>
      <c r="AB48" s="11" t="n"/>
      <c r="AC48" s="10">
        <f>IF(AB48="",AA48,AB48)</f>
        <v/>
      </c>
      <c r="AD48" s="10">
        <f>ROUND(MIN(Config!$B$10,MAX(1,Y48*W48/Z48)),1)</f>
        <v/>
      </c>
      <c r="AE48" s="11" t="n"/>
      <c r="AF48" s="10">
        <f>IF(AE48="",AD48,AE48)</f>
        <v/>
      </c>
      <c r="AG48" s="9">
        <f>(V48-Config!$B$7)/(Config!$B$8-Config!$B$7)</f>
        <v/>
      </c>
      <c r="AH48" s="9">
        <f>(MIN(AC48/Config!$B$9,1)+MIN(AF48/Config!$B$10,1))/2</f>
        <v/>
      </c>
      <c r="AI48" s="12">
        <f>ROUND((AG48*AH48*G48)^(1/3),3)</f>
        <v/>
      </c>
      <c r="AJ48" s="12" t="n">
        <v>0.576</v>
      </c>
      <c r="AK48" s="13">
        <f>AI48-AJ48</f>
        <v/>
      </c>
      <c r="AL48" s="13">
        <f>AK48-AVERAGE($AK$2:$AK$173)</f>
        <v/>
      </c>
      <c r="AM48" s="6">
        <f>IF(ABS(AL48)&gt;Config!$B$11,"REVIEW","")</f>
        <v/>
      </c>
      <c r="AN48" s="14">
        <f>RANK(AI48,$AI$2:$AI$173)</f>
        <v/>
      </c>
      <c r="AO48" s="14">
        <f>RANK(AJ48,$AJ$2:$AJ$173)</f>
        <v/>
      </c>
      <c r="AP48" s="14" t="n">
        <v>48</v>
      </c>
    </row>
    <row r="49">
      <c r="A49" s="6" t="inlineStr">
        <is>
          <t>Gaeiya</t>
        </is>
      </c>
      <c r="B49" s="6" t="inlineStr">
        <is>
          <t>Atirha</t>
        </is>
      </c>
      <c r="C49" s="6" t="inlineStr">
        <is>
          <t>petro, resource, university</t>
        </is>
      </c>
      <c r="D49" s="7" t="n">
        <v>157143</v>
      </c>
      <c r="E49" s="8">
        <f>D49*Config!$B$4</f>
        <v/>
      </c>
      <c r="F49" s="6">
        <f>LN(MAX(60,E49))</f>
        <v/>
      </c>
      <c r="G49" s="9">
        <f>MEDIAN(0,(F49-LN(Config!$B$5))/(LN(Config!$B$6)-LN(Config!$B$5)),1)</f>
        <v/>
      </c>
      <c r="H49" s="6">
        <f>MOD((Config!$B$2+$AP49*7919)*9301+49297,233280)/233280</f>
        <v/>
      </c>
      <c r="I49" s="6">
        <f>MOD((Config!$B$2+$AP49*104729)*4096+150889,714025)/714025</f>
        <v/>
      </c>
      <c r="J49" s="6">
        <f>MOD((Config!$B$2*31+$AP49*15485863)*1366+150889,714025)/714025</f>
        <v/>
      </c>
      <c r="K49" s="6" t="n">
        <v>0.023607</v>
      </c>
      <c r="L49" s="6" t="n">
        <v>0.067838</v>
      </c>
      <c r="M49" s="6">
        <f>COUNTIF(Siblings!$A$2:$A$84,B49)</f>
        <v/>
      </c>
      <c r="N49" s="6">
        <f>1+INT(J49*M49)</f>
        <v/>
      </c>
      <c r="O49" s="6">
        <f>IF(K49&lt;&gt;"",K49,IFERROR(INDEX(Siblings!$D$2:$D$84,MATCH(B49&amp;"|"&amp;N49,Siblings!$F$2:$F$84,0)),0))</f>
        <v/>
      </c>
      <c r="P49" s="6">
        <f>IF(L49&lt;&gt;"",L49,IFERROR(INDEX(Siblings!$E$2:$E$84,MATCH(B49&amp;"|"&amp;N49,Siblings!$F$2:$F$84,0)),0))</f>
        <v/>
      </c>
      <c r="Q49" s="6">
        <f>(INDEX('Earth curves'!$B$2:$B$46,MAX(1,MIN(44,IFERROR(MATCH(F49,'Earth curves'!$A$2:$A$46,1),1))))+(F49-INDEX('Earth curves'!$A$2:$A$46,MAX(1,MIN(44,IFERROR(MATCH(F49,'Earth curves'!$A$2:$A$46,1),1)))))*(INDEX('Earth curves'!$B$2:$B$46,MAX(1,MIN(44,IFERROR(MATCH(F49,'Earth curves'!$A$2:$A$46,1),1)))+1)-INDEX('Earth curves'!$B$2:$B$46,MAX(1,MIN(44,IFERROR(MATCH(F49,'Earth curves'!$A$2:$A$46,1),1)))))/(INDEX('Earth curves'!$A$2:$A$46,MAX(1,MIN(44,IFERROR(MATCH(F49,'Earth curves'!$A$2:$A$46,1),1)))+1)-INDEX('Earth curves'!$A$2:$A$46,MAX(1,MIN(44,IFERROR(MATCH(F49,'Earth curves'!$A$2:$A$46,1),1))))))</f>
        <v/>
      </c>
      <c r="R49" s="6">
        <f>(INDEX('Earth curves'!$C$2:$C$46,MAX(1,MIN(44,IFERROR(MATCH(F49,'Earth curves'!$A$2:$A$46,1),1))))+(F49-INDEX('Earth curves'!$A$2:$A$46,MAX(1,MIN(44,IFERROR(MATCH(F49,'Earth curves'!$A$2:$A$46,1),1)))))*(INDEX('Earth curves'!$C$2:$C$46,MAX(1,MIN(44,IFERROR(MATCH(F49,'Earth curves'!$A$2:$A$46,1),1)))+1)-INDEX('Earth curves'!$C$2:$C$46,MAX(1,MIN(44,IFERROR(MATCH(F49,'Earth curves'!$A$2:$A$46,1),1)))))/(INDEX('Earth curves'!$A$2:$A$46,MAX(1,MIN(44,IFERROR(MATCH(F49,'Earth curves'!$A$2:$A$46,1),1)))+1)-INDEX('Earth curves'!$A$2:$A$46,MAX(1,MIN(44,IFERROR(MATCH(F49,'Earth curves'!$A$2:$A$46,1),1))))))</f>
        <v/>
      </c>
      <c r="S49" s="6">
        <f>MEDIAN(0.307692,Q49+MEDIAN(-0.350583,O49+NORMSINV(H49)*0.064828*Config!$B$3,0.120277),0.993846)</f>
        <v/>
      </c>
      <c r="T49" s="10">
        <f>ROUND(Config!$B$7+(Config!$B$8-Config!$B$7)*S49,1)</f>
        <v/>
      </c>
      <c r="U49" s="11" t="n"/>
      <c r="V49" s="10">
        <f>IF(U49="",T49,U49)</f>
        <v/>
      </c>
      <c r="W49" s="6">
        <f>MEDIAN(0.05,R49+MEDIAN(-0.302219,P49+NORMSINV(I49)*0.089531*Config!$B$3,0.274961),0.999)</f>
        <v/>
      </c>
      <c r="X49" s="6">
        <f>(INDEX('Earth curves'!$F$2:$F$46,MAX(1,MIN(44,IFERROR(MATCH(W49,'Earth curves'!$E$2:$E$46,1),1))))+(W49-INDEX('Earth curves'!$E$2:$E$46,MAX(1,MIN(44,IFERROR(MATCH(W49,'Earth curves'!$E$2:$E$46,1),1)))))*(INDEX('Earth curves'!$F$2:$F$46,MAX(1,MIN(44,IFERROR(MATCH(W49,'Earth curves'!$E$2:$E$46,1),1)))+1)-INDEX('Earth curves'!$F$2:$F$46,MAX(1,MIN(44,IFERROR(MATCH(W49,'Earth curves'!$E$2:$E$46,1),1)))))/(INDEX('Earth curves'!$E$2:$E$46,MAX(1,MIN(44,IFERROR(MATCH(W49,'Earth curves'!$E$2:$E$46,1),1)))+1)-INDEX('Earth curves'!$E$2:$E$46,MAX(1,MIN(44,IFERROR(MATCH(W49,'Earth curves'!$E$2:$E$46,1),1))))))</f>
        <v/>
      </c>
      <c r="Y49" s="6">
        <f>(INDEX('Earth curves'!$G$2:$G$46,MAX(1,MIN(44,IFERROR(MATCH(W49,'Earth curves'!$E$2:$E$46,1),1))))+(W49-INDEX('Earth curves'!$E$2:$E$46,MAX(1,MIN(44,IFERROR(MATCH(W49,'Earth curves'!$E$2:$E$46,1),1)))))*(INDEX('Earth curves'!$G$2:$G$46,MAX(1,MIN(44,IFERROR(MATCH(W49,'Earth curves'!$E$2:$E$46,1),1)))+1)-INDEX('Earth curves'!$G$2:$G$46,MAX(1,MIN(44,IFERROR(MATCH(W49,'Earth curves'!$E$2:$E$46,1),1)))))/(INDEX('Earth curves'!$E$2:$E$46,MAX(1,MIN(44,IFERROR(MATCH(W49,'Earth curves'!$E$2:$E$46,1),1)))+1)-INDEX('Earth curves'!$E$2:$E$46,MAX(1,MIN(44,IFERROR(MATCH(W49,'Earth curves'!$E$2:$E$46,1),1))))))</f>
        <v/>
      </c>
      <c r="Z49" s="6">
        <f>(MIN(X49/Config!$B$9,1)+MIN(Y49/Config!$B$10,1))/2</f>
        <v/>
      </c>
      <c r="AA49" s="10">
        <f>ROUND(MIN(22,MAX(3,X49*W49/Z49)),1)</f>
        <v/>
      </c>
      <c r="AB49" s="11" t="n"/>
      <c r="AC49" s="10">
        <f>IF(AB49="",AA49,AB49)</f>
        <v/>
      </c>
      <c r="AD49" s="10">
        <f>ROUND(MIN(Config!$B$10,MAX(1,Y49*W49/Z49)),1)</f>
        <v/>
      </c>
      <c r="AE49" s="11" t="n"/>
      <c r="AF49" s="10">
        <f>IF(AE49="",AD49,AE49)</f>
        <v/>
      </c>
      <c r="AG49" s="9">
        <f>(V49-Config!$B$7)/(Config!$B$8-Config!$B$7)</f>
        <v/>
      </c>
      <c r="AH49" s="9">
        <f>(MIN(AC49/Config!$B$9,1)+MIN(AF49/Config!$B$10,1))/2</f>
        <v/>
      </c>
      <c r="AI49" s="12">
        <f>ROUND((AG49*AH49*G49)^(1/3),3)</f>
        <v/>
      </c>
      <c r="AJ49" s="12" t="n">
        <v>0.945</v>
      </c>
      <c r="AK49" s="13">
        <f>AI49-AJ49</f>
        <v/>
      </c>
      <c r="AL49" s="13">
        <f>AK49-AVERAGE($AK$2:$AK$173)</f>
        <v/>
      </c>
      <c r="AM49" s="6">
        <f>IF(ABS(AL49)&gt;Config!$B$11,"REVIEW","")</f>
        <v/>
      </c>
      <c r="AN49" s="14">
        <f>RANK(AI49,$AI$2:$AI$173)</f>
        <v/>
      </c>
      <c r="AO49" s="14">
        <f>RANK(AJ49,$AJ$2:$AJ$173)</f>
        <v/>
      </c>
      <c r="AP49" s="14" t="n">
        <v>49</v>
      </c>
    </row>
    <row r="50">
      <c r="A50" s="6" t="inlineStr">
        <is>
          <t>Galca</t>
        </is>
      </c>
      <c r="B50" s="6" t="inlineStr">
        <is>
          <t>Mahea</t>
        </is>
      </c>
      <c r="C50" s="6" t="inlineStr">
        <is>
          <t>resource</t>
        </is>
      </c>
      <c r="D50" s="7" t="n">
        <v>12476</v>
      </c>
      <c r="E50" s="8">
        <f>D50*Config!$B$4</f>
        <v/>
      </c>
      <c r="F50" s="6">
        <f>LN(MAX(60,E50))</f>
        <v/>
      </c>
      <c r="G50" s="9">
        <f>MEDIAN(0,(F50-LN(Config!$B$5))/(LN(Config!$B$6)-LN(Config!$B$5)),1)</f>
        <v/>
      </c>
      <c r="H50" s="6">
        <f>MOD((Config!$B$2+$AP50*7919)*9301+49297,233280)/233280</f>
        <v/>
      </c>
      <c r="I50" s="6">
        <f>MOD((Config!$B$2+$AP50*104729)*4096+150889,714025)/714025</f>
        <v/>
      </c>
      <c r="J50" s="6">
        <f>MOD((Config!$B$2*31+$AP50*15485863)*1366+150889,714025)/714025</f>
        <v/>
      </c>
      <c r="K50" s="6" t="n">
        <v>0.059086</v>
      </c>
      <c r="L50" s="6" t="n">
        <v>0.12655</v>
      </c>
      <c r="M50" s="6">
        <f>COUNTIF(Siblings!$A$2:$A$84,B50)</f>
        <v/>
      </c>
      <c r="N50" s="6">
        <f>1+INT(J50*M50)</f>
        <v/>
      </c>
      <c r="O50" s="6">
        <f>IF(K50&lt;&gt;"",K50,IFERROR(INDEX(Siblings!$D$2:$D$84,MATCH(B50&amp;"|"&amp;N50,Siblings!$F$2:$F$84,0)),0))</f>
        <v/>
      </c>
      <c r="P50" s="6">
        <f>IF(L50&lt;&gt;"",L50,IFERROR(INDEX(Siblings!$E$2:$E$84,MATCH(B50&amp;"|"&amp;N50,Siblings!$F$2:$F$84,0)),0))</f>
        <v/>
      </c>
      <c r="Q50" s="6">
        <f>(INDEX('Earth curves'!$B$2:$B$46,MAX(1,MIN(44,IFERROR(MATCH(F50,'Earth curves'!$A$2:$A$46,1),1))))+(F50-INDEX('Earth curves'!$A$2:$A$46,MAX(1,MIN(44,IFERROR(MATCH(F50,'Earth curves'!$A$2:$A$46,1),1)))))*(INDEX('Earth curves'!$B$2:$B$46,MAX(1,MIN(44,IFERROR(MATCH(F50,'Earth curves'!$A$2:$A$46,1),1)))+1)-INDEX('Earth curves'!$B$2:$B$46,MAX(1,MIN(44,IFERROR(MATCH(F50,'Earth curves'!$A$2:$A$46,1),1)))))/(INDEX('Earth curves'!$A$2:$A$46,MAX(1,MIN(44,IFERROR(MATCH(F50,'Earth curves'!$A$2:$A$46,1),1)))+1)-INDEX('Earth curves'!$A$2:$A$46,MAX(1,MIN(44,IFERROR(MATCH(F50,'Earth curves'!$A$2:$A$46,1),1))))))</f>
        <v/>
      </c>
      <c r="R50" s="6">
        <f>(INDEX('Earth curves'!$C$2:$C$46,MAX(1,MIN(44,IFERROR(MATCH(F50,'Earth curves'!$A$2:$A$46,1),1))))+(F50-INDEX('Earth curves'!$A$2:$A$46,MAX(1,MIN(44,IFERROR(MATCH(F50,'Earth curves'!$A$2:$A$46,1),1)))))*(INDEX('Earth curves'!$C$2:$C$46,MAX(1,MIN(44,IFERROR(MATCH(F50,'Earth curves'!$A$2:$A$46,1),1)))+1)-INDEX('Earth curves'!$C$2:$C$46,MAX(1,MIN(44,IFERROR(MATCH(F50,'Earth curves'!$A$2:$A$46,1),1)))))/(INDEX('Earth curves'!$A$2:$A$46,MAX(1,MIN(44,IFERROR(MATCH(F50,'Earth curves'!$A$2:$A$46,1),1)))+1)-INDEX('Earth curves'!$A$2:$A$46,MAX(1,MIN(44,IFERROR(MATCH(F50,'Earth curves'!$A$2:$A$46,1),1))))))</f>
        <v/>
      </c>
      <c r="S50" s="6">
        <f>MEDIAN(0.307692,Q50+MEDIAN(-0.350583,O50+NORMSINV(H50)*0.064828*Config!$B$3,0.120277),0.993846)</f>
        <v/>
      </c>
      <c r="T50" s="10">
        <f>ROUND(Config!$B$7+(Config!$B$8-Config!$B$7)*S50,1)</f>
        <v/>
      </c>
      <c r="U50" s="11" t="n"/>
      <c r="V50" s="10">
        <f>IF(U50="",T50,U50)</f>
        <v/>
      </c>
      <c r="W50" s="6">
        <f>MEDIAN(0.05,R50+MEDIAN(-0.302219,P50+NORMSINV(I50)*0.089531*Config!$B$3,0.274961),0.999)</f>
        <v/>
      </c>
      <c r="X50" s="6">
        <f>(INDEX('Earth curves'!$F$2:$F$46,MAX(1,MIN(44,IFERROR(MATCH(W50,'Earth curves'!$E$2:$E$46,1),1))))+(W50-INDEX('Earth curves'!$E$2:$E$46,MAX(1,MIN(44,IFERROR(MATCH(W50,'Earth curves'!$E$2:$E$46,1),1)))))*(INDEX('Earth curves'!$F$2:$F$46,MAX(1,MIN(44,IFERROR(MATCH(W50,'Earth curves'!$E$2:$E$46,1),1)))+1)-INDEX('Earth curves'!$F$2:$F$46,MAX(1,MIN(44,IFERROR(MATCH(W50,'Earth curves'!$E$2:$E$46,1),1)))))/(INDEX('Earth curves'!$E$2:$E$46,MAX(1,MIN(44,IFERROR(MATCH(W50,'Earth curves'!$E$2:$E$46,1),1)))+1)-INDEX('Earth curves'!$E$2:$E$46,MAX(1,MIN(44,IFERROR(MATCH(W50,'Earth curves'!$E$2:$E$46,1),1))))))</f>
        <v/>
      </c>
      <c r="Y50" s="6">
        <f>(INDEX('Earth curves'!$G$2:$G$46,MAX(1,MIN(44,IFERROR(MATCH(W50,'Earth curves'!$E$2:$E$46,1),1))))+(W50-INDEX('Earth curves'!$E$2:$E$46,MAX(1,MIN(44,IFERROR(MATCH(W50,'Earth curves'!$E$2:$E$46,1),1)))))*(INDEX('Earth curves'!$G$2:$G$46,MAX(1,MIN(44,IFERROR(MATCH(W50,'Earth curves'!$E$2:$E$46,1),1)))+1)-INDEX('Earth curves'!$G$2:$G$46,MAX(1,MIN(44,IFERROR(MATCH(W50,'Earth curves'!$E$2:$E$46,1),1)))))/(INDEX('Earth curves'!$E$2:$E$46,MAX(1,MIN(44,IFERROR(MATCH(W50,'Earth curves'!$E$2:$E$46,1),1)))+1)-INDEX('Earth curves'!$E$2:$E$46,MAX(1,MIN(44,IFERROR(MATCH(W50,'Earth curves'!$E$2:$E$46,1),1))))))</f>
        <v/>
      </c>
      <c r="Z50" s="6">
        <f>(MIN(X50/Config!$B$9,1)+MIN(Y50/Config!$B$10,1))/2</f>
        <v/>
      </c>
      <c r="AA50" s="10">
        <f>ROUND(MIN(22,MAX(3,X50*W50/Z50)),1)</f>
        <v/>
      </c>
      <c r="AB50" s="11" t="n"/>
      <c r="AC50" s="10">
        <f>IF(AB50="",AA50,AB50)</f>
        <v/>
      </c>
      <c r="AD50" s="10">
        <f>ROUND(MIN(Config!$B$10,MAX(1,Y50*W50/Z50)),1)</f>
        <v/>
      </c>
      <c r="AE50" s="11" t="n"/>
      <c r="AF50" s="10">
        <f>IF(AE50="",AD50,AE50)</f>
        <v/>
      </c>
      <c r="AG50" s="9">
        <f>(V50-Config!$B$7)/(Config!$B$8-Config!$B$7)</f>
        <v/>
      </c>
      <c r="AH50" s="9">
        <f>(MIN(AC50/Config!$B$9,1)+MIN(AF50/Config!$B$10,1))/2</f>
        <v/>
      </c>
      <c r="AI50" s="12">
        <f>ROUND((AG50*AH50*G50)^(1/3),3)</f>
        <v/>
      </c>
      <c r="AJ50" s="12" t="n">
        <v>0.652</v>
      </c>
      <c r="AK50" s="13">
        <f>AI50-AJ50</f>
        <v/>
      </c>
      <c r="AL50" s="13">
        <f>AK50-AVERAGE($AK$2:$AK$173)</f>
        <v/>
      </c>
      <c r="AM50" s="6">
        <f>IF(ABS(AL50)&gt;Config!$B$11,"REVIEW","")</f>
        <v/>
      </c>
      <c r="AN50" s="14">
        <f>RANK(AI50,$AI$2:$AI$173)</f>
        <v/>
      </c>
      <c r="AO50" s="14">
        <f>RANK(AJ50,$AJ$2:$AJ$173)</f>
        <v/>
      </c>
      <c r="AP50" s="14" t="n">
        <v>50</v>
      </c>
    </row>
    <row r="51">
      <c r="A51" s="6" t="inlineStr">
        <is>
          <t>Genaire</t>
        </is>
      </c>
      <c r="B51" s="6" t="inlineStr">
        <is>
          <t>Atirha</t>
        </is>
      </c>
      <c r="C51" s="6" t="inlineStr">
        <is>
          <t>resource</t>
        </is>
      </c>
      <c r="D51" s="7" t="n">
        <v>149206</v>
      </c>
      <c r="E51" s="8">
        <f>D51*Config!$B$4</f>
        <v/>
      </c>
      <c r="F51" s="6">
        <f>LN(MAX(60,E51))</f>
        <v/>
      </c>
      <c r="G51" s="9">
        <f>MEDIAN(0,(F51-LN(Config!$B$5))/(LN(Config!$B$6)-LN(Config!$B$5)),1)</f>
        <v/>
      </c>
      <c r="H51" s="6">
        <f>MOD((Config!$B$2+$AP51*7919)*9301+49297,233280)/233280</f>
        <v/>
      </c>
      <c r="I51" s="6">
        <f>MOD((Config!$B$2+$AP51*104729)*4096+150889,714025)/714025</f>
        <v/>
      </c>
      <c r="J51" s="6">
        <f>MOD((Config!$B$2*31+$AP51*15485863)*1366+150889,714025)/714025</f>
        <v/>
      </c>
      <c r="K51" s="6" t="n">
        <v>0.023607</v>
      </c>
      <c r="L51" s="6" t="n">
        <v>0.067838</v>
      </c>
      <c r="M51" s="6">
        <f>COUNTIF(Siblings!$A$2:$A$84,B51)</f>
        <v/>
      </c>
      <c r="N51" s="6">
        <f>1+INT(J51*M51)</f>
        <v/>
      </c>
      <c r="O51" s="6">
        <f>IF(K51&lt;&gt;"",K51,IFERROR(INDEX(Siblings!$D$2:$D$84,MATCH(B51&amp;"|"&amp;N51,Siblings!$F$2:$F$84,0)),0))</f>
        <v/>
      </c>
      <c r="P51" s="6">
        <f>IF(L51&lt;&gt;"",L51,IFERROR(INDEX(Siblings!$E$2:$E$84,MATCH(B51&amp;"|"&amp;N51,Siblings!$F$2:$F$84,0)),0))</f>
        <v/>
      </c>
      <c r="Q51" s="6">
        <f>(INDEX('Earth curves'!$B$2:$B$46,MAX(1,MIN(44,IFERROR(MATCH(F51,'Earth curves'!$A$2:$A$46,1),1))))+(F51-INDEX('Earth curves'!$A$2:$A$46,MAX(1,MIN(44,IFERROR(MATCH(F51,'Earth curves'!$A$2:$A$46,1),1)))))*(INDEX('Earth curves'!$B$2:$B$46,MAX(1,MIN(44,IFERROR(MATCH(F51,'Earth curves'!$A$2:$A$46,1),1)))+1)-INDEX('Earth curves'!$B$2:$B$46,MAX(1,MIN(44,IFERROR(MATCH(F51,'Earth curves'!$A$2:$A$46,1),1)))))/(INDEX('Earth curves'!$A$2:$A$46,MAX(1,MIN(44,IFERROR(MATCH(F51,'Earth curves'!$A$2:$A$46,1),1)))+1)-INDEX('Earth curves'!$A$2:$A$46,MAX(1,MIN(44,IFERROR(MATCH(F51,'Earth curves'!$A$2:$A$46,1),1))))))</f>
        <v/>
      </c>
      <c r="R51" s="6">
        <f>(INDEX('Earth curves'!$C$2:$C$46,MAX(1,MIN(44,IFERROR(MATCH(F51,'Earth curves'!$A$2:$A$46,1),1))))+(F51-INDEX('Earth curves'!$A$2:$A$46,MAX(1,MIN(44,IFERROR(MATCH(F51,'Earth curves'!$A$2:$A$46,1),1)))))*(INDEX('Earth curves'!$C$2:$C$46,MAX(1,MIN(44,IFERROR(MATCH(F51,'Earth curves'!$A$2:$A$46,1),1)))+1)-INDEX('Earth curves'!$C$2:$C$46,MAX(1,MIN(44,IFERROR(MATCH(F51,'Earth curves'!$A$2:$A$46,1),1)))))/(INDEX('Earth curves'!$A$2:$A$46,MAX(1,MIN(44,IFERROR(MATCH(F51,'Earth curves'!$A$2:$A$46,1),1)))+1)-INDEX('Earth curves'!$A$2:$A$46,MAX(1,MIN(44,IFERROR(MATCH(F51,'Earth curves'!$A$2:$A$46,1),1))))))</f>
        <v/>
      </c>
      <c r="S51" s="6">
        <f>MEDIAN(0.307692,Q51+MEDIAN(-0.350583,O51+NORMSINV(H51)*0.064828*Config!$B$3,0.120277),0.993846)</f>
        <v/>
      </c>
      <c r="T51" s="10">
        <f>ROUND(Config!$B$7+(Config!$B$8-Config!$B$7)*S51,1)</f>
        <v/>
      </c>
      <c r="U51" s="11" t="n"/>
      <c r="V51" s="10">
        <f>IF(U51="",T51,U51)</f>
        <v/>
      </c>
      <c r="W51" s="6">
        <f>MEDIAN(0.05,R51+MEDIAN(-0.302219,P51+NORMSINV(I51)*0.089531*Config!$B$3,0.274961),0.999)</f>
        <v/>
      </c>
      <c r="X51" s="6">
        <f>(INDEX('Earth curves'!$F$2:$F$46,MAX(1,MIN(44,IFERROR(MATCH(W51,'Earth curves'!$E$2:$E$46,1),1))))+(W51-INDEX('Earth curves'!$E$2:$E$46,MAX(1,MIN(44,IFERROR(MATCH(W51,'Earth curves'!$E$2:$E$46,1),1)))))*(INDEX('Earth curves'!$F$2:$F$46,MAX(1,MIN(44,IFERROR(MATCH(W51,'Earth curves'!$E$2:$E$46,1),1)))+1)-INDEX('Earth curves'!$F$2:$F$46,MAX(1,MIN(44,IFERROR(MATCH(W51,'Earth curves'!$E$2:$E$46,1),1)))))/(INDEX('Earth curves'!$E$2:$E$46,MAX(1,MIN(44,IFERROR(MATCH(W51,'Earth curves'!$E$2:$E$46,1),1)))+1)-INDEX('Earth curves'!$E$2:$E$46,MAX(1,MIN(44,IFERROR(MATCH(W51,'Earth curves'!$E$2:$E$46,1),1))))))</f>
        <v/>
      </c>
      <c r="Y51" s="6">
        <f>(INDEX('Earth curves'!$G$2:$G$46,MAX(1,MIN(44,IFERROR(MATCH(W51,'Earth curves'!$E$2:$E$46,1),1))))+(W51-INDEX('Earth curves'!$E$2:$E$46,MAX(1,MIN(44,IFERROR(MATCH(W51,'Earth curves'!$E$2:$E$46,1),1)))))*(INDEX('Earth curves'!$G$2:$G$46,MAX(1,MIN(44,IFERROR(MATCH(W51,'Earth curves'!$E$2:$E$46,1),1)))+1)-INDEX('Earth curves'!$G$2:$G$46,MAX(1,MIN(44,IFERROR(MATCH(W51,'Earth curves'!$E$2:$E$46,1),1)))))/(INDEX('Earth curves'!$E$2:$E$46,MAX(1,MIN(44,IFERROR(MATCH(W51,'Earth curves'!$E$2:$E$46,1),1)))+1)-INDEX('Earth curves'!$E$2:$E$46,MAX(1,MIN(44,IFERROR(MATCH(W51,'Earth curves'!$E$2:$E$46,1),1))))))</f>
        <v/>
      </c>
      <c r="Z51" s="6">
        <f>(MIN(X51/Config!$B$9,1)+MIN(Y51/Config!$B$10,1))/2</f>
        <v/>
      </c>
      <c r="AA51" s="10">
        <f>ROUND(MIN(22,MAX(3,X51*W51/Z51)),1)</f>
        <v/>
      </c>
      <c r="AB51" s="11" t="n"/>
      <c r="AC51" s="10">
        <f>IF(AB51="",AA51,AB51)</f>
        <v/>
      </c>
      <c r="AD51" s="10">
        <f>ROUND(MIN(Config!$B$10,MAX(1,Y51*W51/Z51)),1)</f>
        <v/>
      </c>
      <c r="AE51" s="11" t="n"/>
      <c r="AF51" s="10">
        <f>IF(AE51="",AD51,AE51)</f>
        <v/>
      </c>
      <c r="AG51" s="9">
        <f>(V51-Config!$B$7)/(Config!$B$8-Config!$B$7)</f>
        <v/>
      </c>
      <c r="AH51" s="9">
        <f>(MIN(AC51/Config!$B$9,1)+MIN(AF51/Config!$B$10,1))/2</f>
        <v/>
      </c>
      <c r="AI51" s="12">
        <f>ROUND((AG51*AH51*G51)^(1/3),3)</f>
        <v/>
      </c>
      <c r="AJ51" s="12" t="n">
        <v>0.874</v>
      </c>
      <c r="AK51" s="13">
        <f>AI51-AJ51</f>
        <v/>
      </c>
      <c r="AL51" s="13">
        <f>AK51-AVERAGE($AK$2:$AK$173)</f>
        <v/>
      </c>
      <c r="AM51" s="6">
        <f>IF(ABS(AL51)&gt;Config!$B$11,"REVIEW","")</f>
        <v/>
      </c>
      <c r="AN51" s="14">
        <f>RANK(AI51,$AI$2:$AI$173)</f>
        <v/>
      </c>
      <c r="AO51" s="14">
        <f>RANK(AJ51,$AJ$2:$AJ$173)</f>
        <v/>
      </c>
      <c r="AP51" s="14" t="n">
        <v>51</v>
      </c>
    </row>
    <row r="52">
      <c r="A52" s="6" t="inlineStr">
        <is>
          <t>Grazail</t>
        </is>
      </c>
      <c r="B52" s="6" t="inlineStr">
        <is>
          <t>Atirha</t>
        </is>
      </c>
      <c r="C52" s="6" t="inlineStr">
        <is>
          <t>—</t>
        </is>
      </c>
      <c r="D52" s="7" t="n">
        <v>83492</v>
      </c>
      <c r="E52" s="8">
        <f>D52*Config!$B$4</f>
        <v/>
      </c>
      <c r="F52" s="6">
        <f>LN(MAX(60,E52))</f>
        <v/>
      </c>
      <c r="G52" s="9">
        <f>MEDIAN(0,(F52-LN(Config!$B$5))/(LN(Config!$B$6)-LN(Config!$B$5)),1)</f>
        <v/>
      </c>
      <c r="H52" s="6">
        <f>MOD((Config!$B$2+$AP52*7919)*9301+49297,233280)/233280</f>
        <v/>
      </c>
      <c r="I52" s="6">
        <f>MOD((Config!$B$2+$AP52*104729)*4096+150889,714025)/714025</f>
        <v/>
      </c>
      <c r="J52" s="6">
        <f>MOD((Config!$B$2*31+$AP52*15485863)*1366+150889,714025)/714025</f>
        <v/>
      </c>
      <c r="K52" s="6" t="n"/>
      <c r="L52" s="6" t="n"/>
      <c r="M52" s="6">
        <f>COUNTIF(Siblings!$A$2:$A$84,B52)</f>
        <v/>
      </c>
      <c r="N52" s="6">
        <f>1+INT(J52*M52)</f>
        <v/>
      </c>
      <c r="O52" s="6">
        <f>IF(K52&lt;&gt;"",K52,IFERROR(INDEX(Siblings!$D$2:$D$84,MATCH(B52&amp;"|"&amp;N52,Siblings!$F$2:$F$84,0)),0))</f>
        <v/>
      </c>
      <c r="P52" s="6">
        <f>IF(L52&lt;&gt;"",L52,IFERROR(INDEX(Siblings!$E$2:$E$84,MATCH(B52&amp;"|"&amp;N52,Siblings!$F$2:$F$84,0)),0))</f>
        <v/>
      </c>
      <c r="Q52" s="6">
        <f>(INDEX('Earth curves'!$B$2:$B$46,MAX(1,MIN(44,IFERROR(MATCH(F52,'Earth curves'!$A$2:$A$46,1),1))))+(F52-INDEX('Earth curves'!$A$2:$A$46,MAX(1,MIN(44,IFERROR(MATCH(F52,'Earth curves'!$A$2:$A$46,1),1)))))*(INDEX('Earth curves'!$B$2:$B$46,MAX(1,MIN(44,IFERROR(MATCH(F52,'Earth curves'!$A$2:$A$46,1),1)))+1)-INDEX('Earth curves'!$B$2:$B$46,MAX(1,MIN(44,IFERROR(MATCH(F52,'Earth curves'!$A$2:$A$46,1),1)))))/(INDEX('Earth curves'!$A$2:$A$46,MAX(1,MIN(44,IFERROR(MATCH(F52,'Earth curves'!$A$2:$A$46,1),1)))+1)-INDEX('Earth curves'!$A$2:$A$46,MAX(1,MIN(44,IFERROR(MATCH(F52,'Earth curves'!$A$2:$A$46,1),1))))))</f>
        <v/>
      </c>
      <c r="R52" s="6">
        <f>(INDEX('Earth curves'!$C$2:$C$46,MAX(1,MIN(44,IFERROR(MATCH(F52,'Earth curves'!$A$2:$A$46,1),1))))+(F52-INDEX('Earth curves'!$A$2:$A$46,MAX(1,MIN(44,IFERROR(MATCH(F52,'Earth curves'!$A$2:$A$46,1),1)))))*(INDEX('Earth curves'!$C$2:$C$46,MAX(1,MIN(44,IFERROR(MATCH(F52,'Earth curves'!$A$2:$A$46,1),1)))+1)-INDEX('Earth curves'!$C$2:$C$46,MAX(1,MIN(44,IFERROR(MATCH(F52,'Earth curves'!$A$2:$A$46,1),1)))))/(INDEX('Earth curves'!$A$2:$A$46,MAX(1,MIN(44,IFERROR(MATCH(F52,'Earth curves'!$A$2:$A$46,1),1)))+1)-INDEX('Earth curves'!$A$2:$A$46,MAX(1,MIN(44,IFERROR(MATCH(F52,'Earth curves'!$A$2:$A$46,1),1))))))</f>
        <v/>
      </c>
      <c r="S52" s="6">
        <f>MEDIAN(0.307692,Q52+MEDIAN(-0.350583,O52+NORMSINV(H52)*0.064828*Config!$B$3,0.120277),0.993846)</f>
        <v/>
      </c>
      <c r="T52" s="10">
        <f>ROUND(Config!$B$7+(Config!$B$8-Config!$B$7)*S52,1)</f>
        <v/>
      </c>
      <c r="U52" s="11" t="n"/>
      <c r="V52" s="10">
        <f>IF(U52="",T52,U52)</f>
        <v/>
      </c>
      <c r="W52" s="6">
        <f>MEDIAN(0.05,R52+MEDIAN(-0.302219,P52+NORMSINV(I52)*0.089531*Config!$B$3,0.274961),0.999)</f>
        <v/>
      </c>
      <c r="X52" s="6">
        <f>(INDEX('Earth curves'!$F$2:$F$46,MAX(1,MIN(44,IFERROR(MATCH(W52,'Earth curves'!$E$2:$E$46,1),1))))+(W52-INDEX('Earth curves'!$E$2:$E$46,MAX(1,MIN(44,IFERROR(MATCH(W52,'Earth curves'!$E$2:$E$46,1),1)))))*(INDEX('Earth curves'!$F$2:$F$46,MAX(1,MIN(44,IFERROR(MATCH(W52,'Earth curves'!$E$2:$E$46,1),1)))+1)-INDEX('Earth curves'!$F$2:$F$46,MAX(1,MIN(44,IFERROR(MATCH(W52,'Earth curves'!$E$2:$E$46,1),1)))))/(INDEX('Earth curves'!$E$2:$E$46,MAX(1,MIN(44,IFERROR(MATCH(W52,'Earth curves'!$E$2:$E$46,1),1)))+1)-INDEX('Earth curves'!$E$2:$E$46,MAX(1,MIN(44,IFERROR(MATCH(W52,'Earth curves'!$E$2:$E$46,1),1))))))</f>
        <v/>
      </c>
      <c r="Y52" s="6">
        <f>(INDEX('Earth curves'!$G$2:$G$46,MAX(1,MIN(44,IFERROR(MATCH(W52,'Earth curves'!$E$2:$E$46,1),1))))+(W52-INDEX('Earth curves'!$E$2:$E$46,MAX(1,MIN(44,IFERROR(MATCH(W52,'Earth curves'!$E$2:$E$46,1),1)))))*(INDEX('Earth curves'!$G$2:$G$46,MAX(1,MIN(44,IFERROR(MATCH(W52,'Earth curves'!$E$2:$E$46,1),1)))+1)-INDEX('Earth curves'!$G$2:$G$46,MAX(1,MIN(44,IFERROR(MATCH(W52,'Earth curves'!$E$2:$E$46,1),1)))))/(INDEX('Earth curves'!$E$2:$E$46,MAX(1,MIN(44,IFERROR(MATCH(W52,'Earth curves'!$E$2:$E$46,1),1)))+1)-INDEX('Earth curves'!$E$2:$E$46,MAX(1,MIN(44,IFERROR(MATCH(W52,'Earth curves'!$E$2:$E$46,1),1))))))</f>
        <v/>
      </c>
      <c r="Z52" s="6">
        <f>(MIN(X52/Config!$B$9,1)+MIN(Y52/Config!$B$10,1))/2</f>
        <v/>
      </c>
      <c r="AA52" s="10">
        <f>ROUND(MIN(22,MAX(3,X52*W52/Z52)),1)</f>
        <v/>
      </c>
      <c r="AB52" s="11" t="n"/>
      <c r="AC52" s="10">
        <f>IF(AB52="",AA52,AB52)</f>
        <v/>
      </c>
      <c r="AD52" s="10">
        <f>ROUND(MIN(Config!$B$10,MAX(1,Y52*W52/Z52)),1)</f>
        <v/>
      </c>
      <c r="AE52" s="11" t="n"/>
      <c r="AF52" s="10">
        <f>IF(AE52="",AD52,AE52)</f>
        <v/>
      </c>
      <c r="AG52" s="9">
        <f>(V52-Config!$B$7)/(Config!$B$8-Config!$B$7)</f>
        <v/>
      </c>
      <c r="AH52" s="9">
        <f>(MIN(AC52/Config!$B$9,1)+MIN(AF52/Config!$B$10,1))/2</f>
        <v/>
      </c>
      <c r="AI52" s="12">
        <f>ROUND((AG52*AH52*G52)^(1/3),3)</f>
        <v/>
      </c>
      <c r="AJ52" s="12" t="n">
        <v>0.901</v>
      </c>
      <c r="AK52" s="13">
        <f>AI52-AJ52</f>
        <v/>
      </c>
      <c r="AL52" s="13">
        <f>AK52-AVERAGE($AK$2:$AK$173)</f>
        <v/>
      </c>
      <c r="AM52" s="6">
        <f>IF(ABS(AL52)&gt;Config!$B$11,"REVIEW","")</f>
        <v/>
      </c>
      <c r="AN52" s="14">
        <f>RANK(AI52,$AI$2:$AI$173)</f>
        <v/>
      </c>
      <c r="AO52" s="14">
        <f>RANK(AJ52,$AJ$2:$AJ$173)</f>
        <v/>
      </c>
      <c r="AP52" s="14" t="n">
        <v>52</v>
      </c>
    </row>
    <row r="53">
      <c r="A53" s="6" t="inlineStr">
        <is>
          <t>Guise</t>
        </is>
      </c>
      <c r="B53" s="6" t="inlineStr">
        <is>
          <t>Atirha</t>
        </is>
      </c>
      <c r="C53" s="6" t="inlineStr">
        <is>
          <t>petro</t>
        </is>
      </c>
      <c r="D53" s="7" t="n">
        <v>134286</v>
      </c>
      <c r="E53" s="8">
        <f>D53*Config!$B$4</f>
        <v/>
      </c>
      <c r="F53" s="6">
        <f>LN(MAX(60,E53))</f>
        <v/>
      </c>
      <c r="G53" s="9">
        <f>MEDIAN(0,(F53-LN(Config!$B$5))/(LN(Config!$B$6)-LN(Config!$B$5)),1)</f>
        <v/>
      </c>
      <c r="H53" s="6">
        <f>MOD((Config!$B$2+$AP53*7919)*9301+49297,233280)/233280</f>
        <v/>
      </c>
      <c r="I53" s="6">
        <f>MOD((Config!$B$2+$AP53*104729)*4096+150889,714025)/714025</f>
        <v/>
      </c>
      <c r="J53" s="6">
        <f>MOD((Config!$B$2*31+$AP53*15485863)*1366+150889,714025)/714025</f>
        <v/>
      </c>
      <c r="K53" s="6" t="n"/>
      <c r="L53" s="6" t="n"/>
      <c r="M53" s="6">
        <f>COUNTIF(Siblings!$A$2:$A$84,B53)</f>
        <v/>
      </c>
      <c r="N53" s="6">
        <f>1+INT(J53*M53)</f>
        <v/>
      </c>
      <c r="O53" s="6">
        <f>IF(K53&lt;&gt;"",K53,IFERROR(INDEX(Siblings!$D$2:$D$84,MATCH(B53&amp;"|"&amp;N53,Siblings!$F$2:$F$84,0)),0))</f>
        <v/>
      </c>
      <c r="P53" s="6">
        <f>IF(L53&lt;&gt;"",L53,IFERROR(INDEX(Siblings!$E$2:$E$84,MATCH(B53&amp;"|"&amp;N53,Siblings!$F$2:$F$84,0)),0))</f>
        <v/>
      </c>
      <c r="Q53" s="6">
        <f>(INDEX('Earth curves'!$B$2:$B$46,MAX(1,MIN(44,IFERROR(MATCH(F53,'Earth curves'!$A$2:$A$46,1),1))))+(F53-INDEX('Earth curves'!$A$2:$A$46,MAX(1,MIN(44,IFERROR(MATCH(F53,'Earth curves'!$A$2:$A$46,1),1)))))*(INDEX('Earth curves'!$B$2:$B$46,MAX(1,MIN(44,IFERROR(MATCH(F53,'Earth curves'!$A$2:$A$46,1),1)))+1)-INDEX('Earth curves'!$B$2:$B$46,MAX(1,MIN(44,IFERROR(MATCH(F53,'Earth curves'!$A$2:$A$46,1),1)))))/(INDEX('Earth curves'!$A$2:$A$46,MAX(1,MIN(44,IFERROR(MATCH(F53,'Earth curves'!$A$2:$A$46,1),1)))+1)-INDEX('Earth curves'!$A$2:$A$46,MAX(1,MIN(44,IFERROR(MATCH(F53,'Earth curves'!$A$2:$A$46,1),1))))))</f>
        <v/>
      </c>
      <c r="R53" s="6">
        <f>(INDEX('Earth curves'!$C$2:$C$46,MAX(1,MIN(44,IFERROR(MATCH(F53,'Earth curves'!$A$2:$A$46,1),1))))+(F53-INDEX('Earth curves'!$A$2:$A$46,MAX(1,MIN(44,IFERROR(MATCH(F53,'Earth curves'!$A$2:$A$46,1),1)))))*(INDEX('Earth curves'!$C$2:$C$46,MAX(1,MIN(44,IFERROR(MATCH(F53,'Earth curves'!$A$2:$A$46,1),1)))+1)-INDEX('Earth curves'!$C$2:$C$46,MAX(1,MIN(44,IFERROR(MATCH(F53,'Earth curves'!$A$2:$A$46,1),1)))))/(INDEX('Earth curves'!$A$2:$A$46,MAX(1,MIN(44,IFERROR(MATCH(F53,'Earth curves'!$A$2:$A$46,1),1)))+1)-INDEX('Earth curves'!$A$2:$A$46,MAX(1,MIN(44,IFERROR(MATCH(F53,'Earth curves'!$A$2:$A$46,1),1))))))</f>
        <v/>
      </c>
      <c r="S53" s="6">
        <f>MEDIAN(0.307692,Q53+MEDIAN(-0.350583,O53+NORMSINV(H53)*0.064828*Config!$B$3,0.120277),0.993846)</f>
        <v/>
      </c>
      <c r="T53" s="10">
        <f>ROUND(Config!$B$7+(Config!$B$8-Config!$B$7)*S53,1)</f>
        <v/>
      </c>
      <c r="U53" s="11" t="n"/>
      <c r="V53" s="10">
        <f>IF(U53="",T53,U53)</f>
        <v/>
      </c>
      <c r="W53" s="6">
        <f>MEDIAN(0.05,R53+MEDIAN(-0.302219,P53+NORMSINV(I53)*0.089531*Config!$B$3,0.274961),0.999)</f>
        <v/>
      </c>
      <c r="X53" s="6">
        <f>(INDEX('Earth curves'!$F$2:$F$46,MAX(1,MIN(44,IFERROR(MATCH(W53,'Earth curves'!$E$2:$E$46,1),1))))+(W53-INDEX('Earth curves'!$E$2:$E$46,MAX(1,MIN(44,IFERROR(MATCH(W53,'Earth curves'!$E$2:$E$46,1),1)))))*(INDEX('Earth curves'!$F$2:$F$46,MAX(1,MIN(44,IFERROR(MATCH(W53,'Earth curves'!$E$2:$E$46,1),1)))+1)-INDEX('Earth curves'!$F$2:$F$46,MAX(1,MIN(44,IFERROR(MATCH(W53,'Earth curves'!$E$2:$E$46,1),1)))))/(INDEX('Earth curves'!$E$2:$E$46,MAX(1,MIN(44,IFERROR(MATCH(W53,'Earth curves'!$E$2:$E$46,1),1)))+1)-INDEX('Earth curves'!$E$2:$E$46,MAX(1,MIN(44,IFERROR(MATCH(W53,'Earth curves'!$E$2:$E$46,1),1))))))</f>
        <v/>
      </c>
      <c r="Y53" s="6">
        <f>(INDEX('Earth curves'!$G$2:$G$46,MAX(1,MIN(44,IFERROR(MATCH(W53,'Earth curves'!$E$2:$E$46,1),1))))+(W53-INDEX('Earth curves'!$E$2:$E$46,MAX(1,MIN(44,IFERROR(MATCH(W53,'Earth curves'!$E$2:$E$46,1),1)))))*(INDEX('Earth curves'!$G$2:$G$46,MAX(1,MIN(44,IFERROR(MATCH(W53,'Earth curves'!$E$2:$E$46,1),1)))+1)-INDEX('Earth curves'!$G$2:$G$46,MAX(1,MIN(44,IFERROR(MATCH(W53,'Earth curves'!$E$2:$E$46,1),1)))))/(INDEX('Earth curves'!$E$2:$E$46,MAX(1,MIN(44,IFERROR(MATCH(W53,'Earth curves'!$E$2:$E$46,1),1)))+1)-INDEX('Earth curves'!$E$2:$E$46,MAX(1,MIN(44,IFERROR(MATCH(W53,'Earth curves'!$E$2:$E$46,1),1))))))</f>
        <v/>
      </c>
      <c r="Z53" s="6">
        <f>(MIN(X53/Config!$B$9,1)+MIN(Y53/Config!$B$10,1))/2</f>
        <v/>
      </c>
      <c r="AA53" s="10">
        <f>ROUND(MIN(22,MAX(3,X53*W53/Z53)),1)</f>
        <v/>
      </c>
      <c r="AB53" s="11" t="n"/>
      <c r="AC53" s="10">
        <f>IF(AB53="",AA53,AB53)</f>
        <v/>
      </c>
      <c r="AD53" s="10">
        <f>ROUND(MIN(Config!$B$10,MAX(1,Y53*W53/Z53)),1)</f>
        <v/>
      </c>
      <c r="AE53" s="11" t="n"/>
      <c r="AF53" s="10">
        <f>IF(AE53="",AD53,AE53)</f>
        <v/>
      </c>
      <c r="AG53" s="9">
        <f>(V53-Config!$B$7)/(Config!$B$8-Config!$B$7)</f>
        <v/>
      </c>
      <c r="AH53" s="9">
        <f>(MIN(AC53/Config!$B$9,1)+MIN(AF53/Config!$B$10,1))/2</f>
        <v/>
      </c>
      <c r="AI53" s="12">
        <f>ROUND((AG53*AH53*G53)^(1/3),3)</f>
        <v/>
      </c>
      <c r="AJ53" s="12" t="n">
        <v>0.95</v>
      </c>
      <c r="AK53" s="13">
        <f>AI53-AJ53</f>
        <v/>
      </c>
      <c r="AL53" s="13">
        <f>AK53-AVERAGE($AK$2:$AK$173)</f>
        <v/>
      </c>
      <c r="AM53" s="6">
        <f>IF(ABS(AL53)&gt;Config!$B$11,"REVIEW","")</f>
        <v/>
      </c>
      <c r="AN53" s="14">
        <f>RANK(AI53,$AI$2:$AI$173)</f>
        <v/>
      </c>
      <c r="AO53" s="14">
        <f>RANK(AJ53,$AJ$2:$AJ$173)</f>
        <v/>
      </c>
      <c r="AP53" s="14" t="n">
        <v>53</v>
      </c>
    </row>
    <row r="54">
      <c r="A54" s="6" t="inlineStr">
        <is>
          <t>Haiza</t>
        </is>
      </c>
      <c r="B54" s="6" t="inlineStr">
        <is>
          <t>Massir</t>
        </is>
      </c>
      <c r="C54" s="6" t="inlineStr">
        <is>
          <t>resource</t>
        </is>
      </c>
      <c r="D54" s="7" t="n">
        <v>74603</v>
      </c>
      <c r="E54" s="8">
        <f>D54*Config!$B$4</f>
        <v/>
      </c>
      <c r="F54" s="6">
        <f>LN(MAX(60,E54))</f>
        <v/>
      </c>
      <c r="G54" s="9">
        <f>MEDIAN(0,(F54-LN(Config!$B$5))/(LN(Config!$B$6)-LN(Config!$B$5)),1)</f>
        <v/>
      </c>
      <c r="H54" s="6">
        <f>MOD((Config!$B$2+$AP54*7919)*9301+49297,233280)/233280</f>
        <v/>
      </c>
      <c r="I54" s="6">
        <f>MOD((Config!$B$2+$AP54*104729)*4096+150889,714025)/714025</f>
        <v/>
      </c>
      <c r="J54" s="6">
        <f>MOD((Config!$B$2*31+$AP54*15485863)*1366+150889,714025)/714025</f>
        <v/>
      </c>
      <c r="K54" s="6" t="n">
        <v>0.057014</v>
      </c>
      <c r="L54" s="6" t="n">
        <v>0.059675</v>
      </c>
      <c r="M54" s="6">
        <f>COUNTIF(Siblings!$A$2:$A$84,B54)</f>
        <v/>
      </c>
      <c r="N54" s="6">
        <f>1+INT(J54*M54)</f>
        <v/>
      </c>
      <c r="O54" s="6">
        <f>IF(K54&lt;&gt;"",K54,IFERROR(INDEX(Siblings!$D$2:$D$84,MATCH(B54&amp;"|"&amp;N54,Siblings!$F$2:$F$84,0)),0))</f>
        <v/>
      </c>
      <c r="P54" s="6">
        <f>IF(L54&lt;&gt;"",L54,IFERROR(INDEX(Siblings!$E$2:$E$84,MATCH(B54&amp;"|"&amp;N54,Siblings!$F$2:$F$84,0)),0))</f>
        <v/>
      </c>
      <c r="Q54" s="6">
        <f>(INDEX('Earth curves'!$B$2:$B$46,MAX(1,MIN(44,IFERROR(MATCH(F54,'Earth curves'!$A$2:$A$46,1),1))))+(F54-INDEX('Earth curves'!$A$2:$A$46,MAX(1,MIN(44,IFERROR(MATCH(F54,'Earth curves'!$A$2:$A$46,1),1)))))*(INDEX('Earth curves'!$B$2:$B$46,MAX(1,MIN(44,IFERROR(MATCH(F54,'Earth curves'!$A$2:$A$46,1),1)))+1)-INDEX('Earth curves'!$B$2:$B$46,MAX(1,MIN(44,IFERROR(MATCH(F54,'Earth curves'!$A$2:$A$46,1),1)))))/(INDEX('Earth curves'!$A$2:$A$46,MAX(1,MIN(44,IFERROR(MATCH(F54,'Earth curves'!$A$2:$A$46,1),1)))+1)-INDEX('Earth curves'!$A$2:$A$46,MAX(1,MIN(44,IFERROR(MATCH(F54,'Earth curves'!$A$2:$A$46,1),1))))))</f>
        <v/>
      </c>
      <c r="R54" s="6">
        <f>(INDEX('Earth curves'!$C$2:$C$46,MAX(1,MIN(44,IFERROR(MATCH(F54,'Earth curves'!$A$2:$A$46,1),1))))+(F54-INDEX('Earth curves'!$A$2:$A$46,MAX(1,MIN(44,IFERROR(MATCH(F54,'Earth curves'!$A$2:$A$46,1),1)))))*(INDEX('Earth curves'!$C$2:$C$46,MAX(1,MIN(44,IFERROR(MATCH(F54,'Earth curves'!$A$2:$A$46,1),1)))+1)-INDEX('Earth curves'!$C$2:$C$46,MAX(1,MIN(44,IFERROR(MATCH(F54,'Earth curves'!$A$2:$A$46,1),1)))))/(INDEX('Earth curves'!$A$2:$A$46,MAX(1,MIN(44,IFERROR(MATCH(F54,'Earth curves'!$A$2:$A$46,1),1)))+1)-INDEX('Earth curves'!$A$2:$A$46,MAX(1,MIN(44,IFERROR(MATCH(F54,'Earth curves'!$A$2:$A$46,1),1))))))</f>
        <v/>
      </c>
      <c r="S54" s="6">
        <f>MEDIAN(0.307692,Q54+MEDIAN(-0.350583,O54+NORMSINV(H54)*0.064828*Config!$B$3,0.120277),0.993846)</f>
        <v/>
      </c>
      <c r="T54" s="10">
        <f>ROUND(Config!$B$7+(Config!$B$8-Config!$B$7)*S54,1)</f>
        <v/>
      </c>
      <c r="U54" s="11" t="n"/>
      <c r="V54" s="10">
        <f>IF(U54="",T54,U54)</f>
        <v/>
      </c>
      <c r="W54" s="6">
        <f>MEDIAN(0.05,R54+MEDIAN(-0.302219,P54+NORMSINV(I54)*0.089531*Config!$B$3,0.274961),0.999)</f>
        <v/>
      </c>
      <c r="X54" s="6">
        <f>(INDEX('Earth curves'!$F$2:$F$46,MAX(1,MIN(44,IFERROR(MATCH(W54,'Earth curves'!$E$2:$E$46,1),1))))+(W54-INDEX('Earth curves'!$E$2:$E$46,MAX(1,MIN(44,IFERROR(MATCH(W54,'Earth curves'!$E$2:$E$46,1),1)))))*(INDEX('Earth curves'!$F$2:$F$46,MAX(1,MIN(44,IFERROR(MATCH(W54,'Earth curves'!$E$2:$E$46,1),1)))+1)-INDEX('Earth curves'!$F$2:$F$46,MAX(1,MIN(44,IFERROR(MATCH(W54,'Earth curves'!$E$2:$E$46,1),1)))))/(INDEX('Earth curves'!$E$2:$E$46,MAX(1,MIN(44,IFERROR(MATCH(W54,'Earth curves'!$E$2:$E$46,1),1)))+1)-INDEX('Earth curves'!$E$2:$E$46,MAX(1,MIN(44,IFERROR(MATCH(W54,'Earth curves'!$E$2:$E$46,1),1))))))</f>
        <v/>
      </c>
      <c r="Y54" s="6">
        <f>(INDEX('Earth curves'!$G$2:$G$46,MAX(1,MIN(44,IFERROR(MATCH(W54,'Earth curves'!$E$2:$E$46,1),1))))+(W54-INDEX('Earth curves'!$E$2:$E$46,MAX(1,MIN(44,IFERROR(MATCH(W54,'Earth curves'!$E$2:$E$46,1),1)))))*(INDEX('Earth curves'!$G$2:$G$46,MAX(1,MIN(44,IFERROR(MATCH(W54,'Earth curves'!$E$2:$E$46,1),1)))+1)-INDEX('Earth curves'!$G$2:$G$46,MAX(1,MIN(44,IFERROR(MATCH(W54,'Earth curves'!$E$2:$E$46,1),1)))))/(INDEX('Earth curves'!$E$2:$E$46,MAX(1,MIN(44,IFERROR(MATCH(W54,'Earth curves'!$E$2:$E$46,1),1)))+1)-INDEX('Earth curves'!$E$2:$E$46,MAX(1,MIN(44,IFERROR(MATCH(W54,'Earth curves'!$E$2:$E$46,1),1))))))</f>
        <v/>
      </c>
      <c r="Z54" s="6">
        <f>(MIN(X54/Config!$B$9,1)+MIN(Y54/Config!$B$10,1))/2</f>
        <v/>
      </c>
      <c r="AA54" s="10">
        <f>ROUND(MIN(22,MAX(3,X54*W54/Z54)),1)</f>
        <v/>
      </c>
      <c r="AB54" s="11" t="n"/>
      <c r="AC54" s="10">
        <f>IF(AB54="",AA54,AB54)</f>
        <v/>
      </c>
      <c r="AD54" s="10">
        <f>ROUND(MIN(Config!$B$10,MAX(1,Y54*W54/Z54)),1)</f>
        <v/>
      </c>
      <c r="AE54" s="11" t="n"/>
      <c r="AF54" s="10">
        <f>IF(AE54="",AD54,AE54)</f>
        <v/>
      </c>
      <c r="AG54" s="9">
        <f>(V54-Config!$B$7)/(Config!$B$8-Config!$B$7)</f>
        <v/>
      </c>
      <c r="AH54" s="9">
        <f>(MIN(AC54/Config!$B$9,1)+MIN(AF54/Config!$B$10,1))/2</f>
        <v/>
      </c>
      <c r="AI54" s="12">
        <f>ROUND((AG54*AH54*G54)^(1/3),3)</f>
        <v/>
      </c>
      <c r="AJ54" s="12" t="n">
        <v>0.749</v>
      </c>
      <c r="AK54" s="13">
        <f>AI54-AJ54</f>
        <v/>
      </c>
      <c r="AL54" s="13">
        <f>AK54-AVERAGE($AK$2:$AK$173)</f>
        <v/>
      </c>
      <c r="AM54" s="6">
        <f>IF(ABS(AL54)&gt;Config!$B$11,"REVIEW","")</f>
        <v/>
      </c>
      <c r="AN54" s="14">
        <f>RANK(AI54,$AI$2:$AI$173)</f>
        <v/>
      </c>
      <c r="AO54" s="14">
        <f>RANK(AJ54,$AJ$2:$AJ$173)</f>
        <v/>
      </c>
      <c r="AP54" s="14" t="n">
        <v>54</v>
      </c>
    </row>
    <row r="55">
      <c r="A55" s="6" t="inlineStr">
        <is>
          <t>Heiso</t>
        </is>
      </c>
      <c r="B55" s="6" t="inlineStr">
        <is>
          <t>Ayuma/Acrola</t>
        </is>
      </c>
      <c r="C55" s="6" t="inlineStr">
        <is>
          <t>resource</t>
        </is>
      </c>
      <c r="D55" s="7" t="n">
        <v>37778</v>
      </c>
      <c r="E55" s="8">
        <f>D55*Config!$B$4</f>
        <v/>
      </c>
      <c r="F55" s="6">
        <f>LN(MAX(60,E55))</f>
        <v/>
      </c>
      <c r="G55" s="9">
        <f>MEDIAN(0,(F55-LN(Config!$B$5))/(LN(Config!$B$6)-LN(Config!$B$5)),1)</f>
        <v/>
      </c>
      <c r="H55" s="6">
        <f>MOD((Config!$B$2+$AP55*7919)*9301+49297,233280)/233280</f>
        <v/>
      </c>
      <c r="I55" s="6">
        <f>MOD((Config!$B$2+$AP55*104729)*4096+150889,714025)/714025</f>
        <v/>
      </c>
      <c r="J55" s="6">
        <f>MOD((Config!$B$2*31+$AP55*15485863)*1366+150889,714025)/714025</f>
        <v/>
      </c>
      <c r="K55" s="6" t="n">
        <v>0.075999</v>
      </c>
      <c r="L55" s="6" t="n">
        <v>-0.04251</v>
      </c>
      <c r="M55" s="6">
        <f>COUNTIF(Siblings!$A$2:$A$84,B55)</f>
        <v/>
      </c>
      <c r="N55" s="6">
        <f>1+INT(J55*M55)</f>
        <v/>
      </c>
      <c r="O55" s="6">
        <f>IF(K55&lt;&gt;"",K55,IFERROR(INDEX(Siblings!$D$2:$D$84,MATCH(B55&amp;"|"&amp;N55,Siblings!$F$2:$F$84,0)),0))</f>
        <v/>
      </c>
      <c r="P55" s="6">
        <f>IF(L55&lt;&gt;"",L55,IFERROR(INDEX(Siblings!$E$2:$E$84,MATCH(B55&amp;"|"&amp;N55,Siblings!$F$2:$F$84,0)),0))</f>
        <v/>
      </c>
      <c r="Q55" s="6">
        <f>(INDEX('Earth curves'!$B$2:$B$46,MAX(1,MIN(44,IFERROR(MATCH(F55,'Earth curves'!$A$2:$A$46,1),1))))+(F55-INDEX('Earth curves'!$A$2:$A$46,MAX(1,MIN(44,IFERROR(MATCH(F55,'Earth curves'!$A$2:$A$46,1),1)))))*(INDEX('Earth curves'!$B$2:$B$46,MAX(1,MIN(44,IFERROR(MATCH(F55,'Earth curves'!$A$2:$A$46,1),1)))+1)-INDEX('Earth curves'!$B$2:$B$46,MAX(1,MIN(44,IFERROR(MATCH(F55,'Earth curves'!$A$2:$A$46,1),1)))))/(INDEX('Earth curves'!$A$2:$A$46,MAX(1,MIN(44,IFERROR(MATCH(F55,'Earth curves'!$A$2:$A$46,1),1)))+1)-INDEX('Earth curves'!$A$2:$A$46,MAX(1,MIN(44,IFERROR(MATCH(F55,'Earth curves'!$A$2:$A$46,1),1))))))</f>
        <v/>
      </c>
      <c r="R55" s="6">
        <f>(INDEX('Earth curves'!$C$2:$C$46,MAX(1,MIN(44,IFERROR(MATCH(F55,'Earth curves'!$A$2:$A$46,1),1))))+(F55-INDEX('Earth curves'!$A$2:$A$46,MAX(1,MIN(44,IFERROR(MATCH(F55,'Earth curves'!$A$2:$A$46,1),1)))))*(INDEX('Earth curves'!$C$2:$C$46,MAX(1,MIN(44,IFERROR(MATCH(F55,'Earth curves'!$A$2:$A$46,1),1)))+1)-INDEX('Earth curves'!$C$2:$C$46,MAX(1,MIN(44,IFERROR(MATCH(F55,'Earth curves'!$A$2:$A$46,1),1)))))/(INDEX('Earth curves'!$A$2:$A$46,MAX(1,MIN(44,IFERROR(MATCH(F55,'Earth curves'!$A$2:$A$46,1),1)))+1)-INDEX('Earth curves'!$A$2:$A$46,MAX(1,MIN(44,IFERROR(MATCH(F55,'Earth curves'!$A$2:$A$46,1),1))))))</f>
        <v/>
      </c>
      <c r="S55" s="6">
        <f>MEDIAN(0.307692,Q55+MEDIAN(-0.350583,O55+NORMSINV(H55)*0.064828*Config!$B$3,0.120277),0.993846)</f>
        <v/>
      </c>
      <c r="T55" s="10">
        <f>ROUND(Config!$B$7+(Config!$B$8-Config!$B$7)*S55,1)</f>
        <v/>
      </c>
      <c r="U55" s="11" t="n"/>
      <c r="V55" s="10">
        <f>IF(U55="",T55,U55)</f>
        <v/>
      </c>
      <c r="W55" s="6">
        <f>MEDIAN(0.05,R55+MEDIAN(-0.302219,P55+NORMSINV(I55)*0.089531*Config!$B$3,0.274961),0.999)</f>
        <v/>
      </c>
      <c r="X55" s="6">
        <f>(INDEX('Earth curves'!$F$2:$F$46,MAX(1,MIN(44,IFERROR(MATCH(W55,'Earth curves'!$E$2:$E$46,1),1))))+(W55-INDEX('Earth curves'!$E$2:$E$46,MAX(1,MIN(44,IFERROR(MATCH(W55,'Earth curves'!$E$2:$E$46,1),1)))))*(INDEX('Earth curves'!$F$2:$F$46,MAX(1,MIN(44,IFERROR(MATCH(W55,'Earth curves'!$E$2:$E$46,1),1)))+1)-INDEX('Earth curves'!$F$2:$F$46,MAX(1,MIN(44,IFERROR(MATCH(W55,'Earth curves'!$E$2:$E$46,1),1)))))/(INDEX('Earth curves'!$E$2:$E$46,MAX(1,MIN(44,IFERROR(MATCH(W55,'Earth curves'!$E$2:$E$46,1),1)))+1)-INDEX('Earth curves'!$E$2:$E$46,MAX(1,MIN(44,IFERROR(MATCH(W55,'Earth curves'!$E$2:$E$46,1),1))))))</f>
        <v/>
      </c>
      <c r="Y55" s="6">
        <f>(INDEX('Earth curves'!$G$2:$G$46,MAX(1,MIN(44,IFERROR(MATCH(W55,'Earth curves'!$E$2:$E$46,1),1))))+(W55-INDEX('Earth curves'!$E$2:$E$46,MAX(1,MIN(44,IFERROR(MATCH(W55,'Earth curves'!$E$2:$E$46,1),1)))))*(INDEX('Earth curves'!$G$2:$G$46,MAX(1,MIN(44,IFERROR(MATCH(W55,'Earth curves'!$E$2:$E$46,1),1)))+1)-INDEX('Earth curves'!$G$2:$G$46,MAX(1,MIN(44,IFERROR(MATCH(W55,'Earth curves'!$E$2:$E$46,1),1)))))/(INDEX('Earth curves'!$E$2:$E$46,MAX(1,MIN(44,IFERROR(MATCH(W55,'Earth curves'!$E$2:$E$46,1),1)))+1)-INDEX('Earth curves'!$E$2:$E$46,MAX(1,MIN(44,IFERROR(MATCH(W55,'Earth curves'!$E$2:$E$46,1),1))))))</f>
        <v/>
      </c>
      <c r="Z55" s="6">
        <f>(MIN(X55/Config!$B$9,1)+MIN(Y55/Config!$B$10,1))/2</f>
        <v/>
      </c>
      <c r="AA55" s="10">
        <f>ROUND(MIN(22,MAX(3,X55*W55/Z55)),1)</f>
        <v/>
      </c>
      <c r="AB55" s="11" t="n"/>
      <c r="AC55" s="10">
        <f>IF(AB55="",AA55,AB55)</f>
        <v/>
      </c>
      <c r="AD55" s="10">
        <f>ROUND(MIN(Config!$B$10,MAX(1,Y55*W55/Z55)),1)</f>
        <v/>
      </c>
      <c r="AE55" s="11" t="n"/>
      <c r="AF55" s="10">
        <f>IF(AE55="",AD55,AE55)</f>
        <v/>
      </c>
      <c r="AG55" s="9">
        <f>(V55-Config!$B$7)/(Config!$B$8-Config!$B$7)</f>
        <v/>
      </c>
      <c r="AH55" s="9">
        <f>(MIN(AC55/Config!$B$9,1)+MIN(AF55/Config!$B$10,1))/2</f>
        <v/>
      </c>
      <c r="AI55" s="12">
        <f>ROUND((AG55*AH55*G55)^(1/3),3)</f>
        <v/>
      </c>
      <c r="AJ55" s="12" t="n">
        <v>0.709</v>
      </c>
      <c r="AK55" s="13">
        <f>AI55-AJ55</f>
        <v/>
      </c>
      <c r="AL55" s="13">
        <f>AK55-AVERAGE($AK$2:$AK$173)</f>
        <v/>
      </c>
      <c r="AM55" s="6">
        <f>IF(ABS(AL55)&gt;Config!$B$11,"REVIEW","")</f>
        <v/>
      </c>
      <c r="AN55" s="14">
        <f>RANK(AI55,$AI$2:$AI$173)</f>
        <v/>
      </c>
      <c r="AO55" s="14">
        <f>RANK(AJ55,$AJ$2:$AJ$173)</f>
        <v/>
      </c>
      <c r="AP55" s="14" t="n">
        <v>55</v>
      </c>
    </row>
    <row r="56">
      <c r="A56" s="6" t="inlineStr">
        <is>
          <t>Hiwush</t>
        </is>
      </c>
      <c r="B56" s="6" t="inlineStr">
        <is>
          <t>New Ayre</t>
        </is>
      </c>
      <c r="C56" s="6" t="inlineStr">
        <is>
          <t>—</t>
        </is>
      </c>
      <c r="D56" s="7" t="n">
        <v>25016</v>
      </c>
      <c r="E56" s="8">
        <f>D56*Config!$B$4</f>
        <v/>
      </c>
      <c r="F56" s="6">
        <f>LN(MAX(60,E56))</f>
        <v/>
      </c>
      <c r="G56" s="9">
        <f>MEDIAN(0,(F56-LN(Config!$B$5))/(LN(Config!$B$6)-LN(Config!$B$5)),1)</f>
        <v/>
      </c>
      <c r="H56" s="6">
        <f>MOD((Config!$B$2+$AP56*7919)*9301+49297,233280)/233280</f>
        <v/>
      </c>
      <c r="I56" s="6">
        <f>MOD((Config!$B$2+$AP56*104729)*4096+150889,714025)/714025</f>
        <v/>
      </c>
      <c r="J56" s="6">
        <f>MOD((Config!$B$2*31+$AP56*15485863)*1366+150889,714025)/714025</f>
        <v/>
      </c>
      <c r="K56" s="6" t="n"/>
      <c r="L56" s="6" t="n"/>
      <c r="M56" s="6">
        <f>COUNTIF(Siblings!$A$2:$A$84,B56)</f>
        <v/>
      </c>
      <c r="N56" s="6">
        <f>1+INT(J56*M56)</f>
        <v/>
      </c>
      <c r="O56" s="6">
        <f>IF(K56&lt;&gt;"",K56,IFERROR(INDEX(Siblings!$D$2:$D$84,MATCH(B56&amp;"|"&amp;N56,Siblings!$F$2:$F$84,0)),0))</f>
        <v/>
      </c>
      <c r="P56" s="6">
        <f>IF(L56&lt;&gt;"",L56,IFERROR(INDEX(Siblings!$E$2:$E$84,MATCH(B56&amp;"|"&amp;N56,Siblings!$F$2:$F$84,0)),0))</f>
        <v/>
      </c>
      <c r="Q56" s="6">
        <f>(INDEX('Earth curves'!$B$2:$B$46,MAX(1,MIN(44,IFERROR(MATCH(F56,'Earth curves'!$A$2:$A$46,1),1))))+(F56-INDEX('Earth curves'!$A$2:$A$46,MAX(1,MIN(44,IFERROR(MATCH(F56,'Earth curves'!$A$2:$A$46,1),1)))))*(INDEX('Earth curves'!$B$2:$B$46,MAX(1,MIN(44,IFERROR(MATCH(F56,'Earth curves'!$A$2:$A$46,1),1)))+1)-INDEX('Earth curves'!$B$2:$B$46,MAX(1,MIN(44,IFERROR(MATCH(F56,'Earth curves'!$A$2:$A$46,1),1)))))/(INDEX('Earth curves'!$A$2:$A$46,MAX(1,MIN(44,IFERROR(MATCH(F56,'Earth curves'!$A$2:$A$46,1),1)))+1)-INDEX('Earth curves'!$A$2:$A$46,MAX(1,MIN(44,IFERROR(MATCH(F56,'Earth curves'!$A$2:$A$46,1),1))))))</f>
        <v/>
      </c>
      <c r="R56" s="6">
        <f>(INDEX('Earth curves'!$C$2:$C$46,MAX(1,MIN(44,IFERROR(MATCH(F56,'Earth curves'!$A$2:$A$46,1),1))))+(F56-INDEX('Earth curves'!$A$2:$A$46,MAX(1,MIN(44,IFERROR(MATCH(F56,'Earth curves'!$A$2:$A$46,1),1)))))*(INDEX('Earth curves'!$C$2:$C$46,MAX(1,MIN(44,IFERROR(MATCH(F56,'Earth curves'!$A$2:$A$46,1),1)))+1)-INDEX('Earth curves'!$C$2:$C$46,MAX(1,MIN(44,IFERROR(MATCH(F56,'Earth curves'!$A$2:$A$46,1),1)))))/(INDEX('Earth curves'!$A$2:$A$46,MAX(1,MIN(44,IFERROR(MATCH(F56,'Earth curves'!$A$2:$A$46,1),1)))+1)-INDEX('Earth curves'!$A$2:$A$46,MAX(1,MIN(44,IFERROR(MATCH(F56,'Earth curves'!$A$2:$A$46,1),1))))))</f>
        <v/>
      </c>
      <c r="S56" s="6">
        <f>MEDIAN(0.307692,Q56+MEDIAN(-0.350583,O56+NORMSINV(H56)*0.064828*Config!$B$3,0.120277),0.993846)</f>
        <v/>
      </c>
      <c r="T56" s="10">
        <f>ROUND(Config!$B$7+(Config!$B$8-Config!$B$7)*S56,1)</f>
        <v/>
      </c>
      <c r="U56" s="11" t="n"/>
      <c r="V56" s="10">
        <f>IF(U56="",T56,U56)</f>
        <v/>
      </c>
      <c r="W56" s="6">
        <f>MEDIAN(0.05,R56+MEDIAN(-0.302219,P56+NORMSINV(I56)*0.089531*Config!$B$3,0.274961),0.999)</f>
        <v/>
      </c>
      <c r="X56" s="6">
        <f>(INDEX('Earth curves'!$F$2:$F$46,MAX(1,MIN(44,IFERROR(MATCH(W56,'Earth curves'!$E$2:$E$46,1),1))))+(W56-INDEX('Earth curves'!$E$2:$E$46,MAX(1,MIN(44,IFERROR(MATCH(W56,'Earth curves'!$E$2:$E$46,1),1)))))*(INDEX('Earth curves'!$F$2:$F$46,MAX(1,MIN(44,IFERROR(MATCH(W56,'Earth curves'!$E$2:$E$46,1),1)))+1)-INDEX('Earth curves'!$F$2:$F$46,MAX(1,MIN(44,IFERROR(MATCH(W56,'Earth curves'!$E$2:$E$46,1),1)))))/(INDEX('Earth curves'!$E$2:$E$46,MAX(1,MIN(44,IFERROR(MATCH(W56,'Earth curves'!$E$2:$E$46,1),1)))+1)-INDEX('Earth curves'!$E$2:$E$46,MAX(1,MIN(44,IFERROR(MATCH(W56,'Earth curves'!$E$2:$E$46,1),1))))))</f>
        <v/>
      </c>
      <c r="Y56" s="6">
        <f>(INDEX('Earth curves'!$G$2:$G$46,MAX(1,MIN(44,IFERROR(MATCH(W56,'Earth curves'!$E$2:$E$46,1),1))))+(W56-INDEX('Earth curves'!$E$2:$E$46,MAX(1,MIN(44,IFERROR(MATCH(W56,'Earth curves'!$E$2:$E$46,1),1)))))*(INDEX('Earth curves'!$G$2:$G$46,MAX(1,MIN(44,IFERROR(MATCH(W56,'Earth curves'!$E$2:$E$46,1),1)))+1)-INDEX('Earth curves'!$G$2:$G$46,MAX(1,MIN(44,IFERROR(MATCH(W56,'Earth curves'!$E$2:$E$46,1),1)))))/(INDEX('Earth curves'!$E$2:$E$46,MAX(1,MIN(44,IFERROR(MATCH(W56,'Earth curves'!$E$2:$E$46,1),1)))+1)-INDEX('Earth curves'!$E$2:$E$46,MAX(1,MIN(44,IFERROR(MATCH(W56,'Earth curves'!$E$2:$E$46,1),1))))))</f>
        <v/>
      </c>
      <c r="Z56" s="6">
        <f>(MIN(X56/Config!$B$9,1)+MIN(Y56/Config!$B$10,1))/2</f>
        <v/>
      </c>
      <c r="AA56" s="10">
        <f>ROUND(MIN(22,MAX(3,X56*W56/Z56)),1)</f>
        <v/>
      </c>
      <c r="AB56" s="11" t="n"/>
      <c r="AC56" s="10">
        <f>IF(AB56="",AA56,AB56)</f>
        <v/>
      </c>
      <c r="AD56" s="10">
        <f>ROUND(MIN(Config!$B$10,MAX(1,Y56*W56/Z56)),1)</f>
        <v/>
      </c>
      <c r="AE56" s="11" t="n"/>
      <c r="AF56" s="10">
        <f>IF(AE56="",AD56,AE56)</f>
        <v/>
      </c>
      <c r="AG56" s="9">
        <f>(V56-Config!$B$7)/(Config!$B$8-Config!$B$7)</f>
        <v/>
      </c>
      <c r="AH56" s="9">
        <f>(MIN(AC56/Config!$B$9,1)+MIN(AF56/Config!$B$10,1))/2</f>
        <v/>
      </c>
      <c r="AI56" s="12">
        <f>ROUND((AG56*AH56*G56)^(1/3),3)</f>
        <v/>
      </c>
      <c r="AJ56" s="12" t="n">
        <v>0.777</v>
      </c>
      <c r="AK56" s="13">
        <f>AI56-AJ56</f>
        <v/>
      </c>
      <c r="AL56" s="13">
        <f>AK56-AVERAGE($AK$2:$AK$173)</f>
        <v/>
      </c>
      <c r="AM56" s="6">
        <f>IF(ABS(AL56)&gt;Config!$B$11,"REVIEW","")</f>
        <v/>
      </c>
      <c r="AN56" s="14">
        <f>RANK(AI56,$AI$2:$AI$173)</f>
        <v/>
      </c>
      <c r="AO56" s="14">
        <f>RANK(AJ56,$AJ$2:$AJ$173)</f>
        <v/>
      </c>
      <c r="AP56" s="14" t="n">
        <v>56</v>
      </c>
    </row>
    <row r="57">
      <c r="A57" s="6" t="inlineStr">
        <is>
          <t>Hkuqo</t>
        </is>
      </c>
      <c r="B57" s="6" t="inlineStr">
        <is>
          <t>Ayuma</t>
        </is>
      </c>
      <c r="C57" s="6" t="inlineStr">
        <is>
          <t>resource</t>
        </is>
      </c>
      <c r="D57" s="7" t="n">
        <v>23492</v>
      </c>
      <c r="E57" s="8">
        <f>D57*Config!$B$4</f>
        <v/>
      </c>
      <c r="F57" s="6">
        <f>LN(MAX(60,E57))</f>
        <v/>
      </c>
      <c r="G57" s="9">
        <f>MEDIAN(0,(F57-LN(Config!$B$5))/(LN(Config!$B$6)-LN(Config!$B$5)),1)</f>
        <v/>
      </c>
      <c r="H57" s="6">
        <f>MOD((Config!$B$2+$AP57*7919)*9301+49297,233280)/233280</f>
        <v/>
      </c>
      <c r="I57" s="6">
        <f>MOD((Config!$B$2+$AP57*104729)*4096+150889,714025)/714025</f>
        <v/>
      </c>
      <c r="J57" s="6">
        <f>MOD((Config!$B$2*31+$AP57*15485863)*1366+150889,714025)/714025</f>
        <v/>
      </c>
      <c r="K57" s="6" t="n">
        <v>0.057014</v>
      </c>
      <c r="L57" s="6" t="n">
        <v>0.059675</v>
      </c>
      <c r="M57" s="6">
        <f>COUNTIF(Siblings!$A$2:$A$84,B57)</f>
        <v/>
      </c>
      <c r="N57" s="6">
        <f>1+INT(J57*M57)</f>
        <v/>
      </c>
      <c r="O57" s="6">
        <f>IF(K57&lt;&gt;"",K57,IFERROR(INDEX(Siblings!$D$2:$D$84,MATCH(B57&amp;"|"&amp;N57,Siblings!$F$2:$F$84,0)),0))</f>
        <v/>
      </c>
      <c r="P57" s="6">
        <f>IF(L57&lt;&gt;"",L57,IFERROR(INDEX(Siblings!$E$2:$E$84,MATCH(B57&amp;"|"&amp;N57,Siblings!$F$2:$F$84,0)),0))</f>
        <v/>
      </c>
      <c r="Q57" s="6">
        <f>(INDEX('Earth curves'!$B$2:$B$46,MAX(1,MIN(44,IFERROR(MATCH(F57,'Earth curves'!$A$2:$A$46,1),1))))+(F57-INDEX('Earth curves'!$A$2:$A$46,MAX(1,MIN(44,IFERROR(MATCH(F57,'Earth curves'!$A$2:$A$46,1),1)))))*(INDEX('Earth curves'!$B$2:$B$46,MAX(1,MIN(44,IFERROR(MATCH(F57,'Earth curves'!$A$2:$A$46,1),1)))+1)-INDEX('Earth curves'!$B$2:$B$46,MAX(1,MIN(44,IFERROR(MATCH(F57,'Earth curves'!$A$2:$A$46,1),1)))))/(INDEX('Earth curves'!$A$2:$A$46,MAX(1,MIN(44,IFERROR(MATCH(F57,'Earth curves'!$A$2:$A$46,1),1)))+1)-INDEX('Earth curves'!$A$2:$A$46,MAX(1,MIN(44,IFERROR(MATCH(F57,'Earth curves'!$A$2:$A$46,1),1))))))</f>
        <v/>
      </c>
      <c r="R57" s="6">
        <f>(INDEX('Earth curves'!$C$2:$C$46,MAX(1,MIN(44,IFERROR(MATCH(F57,'Earth curves'!$A$2:$A$46,1),1))))+(F57-INDEX('Earth curves'!$A$2:$A$46,MAX(1,MIN(44,IFERROR(MATCH(F57,'Earth curves'!$A$2:$A$46,1),1)))))*(INDEX('Earth curves'!$C$2:$C$46,MAX(1,MIN(44,IFERROR(MATCH(F57,'Earth curves'!$A$2:$A$46,1),1)))+1)-INDEX('Earth curves'!$C$2:$C$46,MAX(1,MIN(44,IFERROR(MATCH(F57,'Earth curves'!$A$2:$A$46,1),1)))))/(INDEX('Earth curves'!$A$2:$A$46,MAX(1,MIN(44,IFERROR(MATCH(F57,'Earth curves'!$A$2:$A$46,1),1)))+1)-INDEX('Earth curves'!$A$2:$A$46,MAX(1,MIN(44,IFERROR(MATCH(F57,'Earth curves'!$A$2:$A$46,1),1))))))</f>
        <v/>
      </c>
      <c r="S57" s="6">
        <f>MEDIAN(0.307692,Q57+MEDIAN(-0.350583,O57+NORMSINV(H57)*0.064828*Config!$B$3,0.120277),0.993846)</f>
        <v/>
      </c>
      <c r="T57" s="10">
        <f>ROUND(Config!$B$7+(Config!$B$8-Config!$B$7)*S57,1)</f>
        <v/>
      </c>
      <c r="U57" s="11" t="n"/>
      <c r="V57" s="10">
        <f>IF(U57="",T57,U57)</f>
        <v/>
      </c>
      <c r="W57" s="6">
        <f>MEDIAN(0.05,R57+MEDIAN(-0.302219,P57+NORMSINV(I57)*0.089531*Config!$B$3,0.274961),0.999)</f>
        <v/>
      </c>
      <c r="X57" s="6">
        <f>(INDEX('Earth curves'!$F$2:$F$46,MAX(1,MIN(44,IFERROR(MATCH(W57,'Earth curves'!$E$2:$E$46,1),1))))+(W57-INDEX('Earth curves'!$E$2:$E$46,MAX(1,MIN(44,IFERROR(MATCH(W57,'Earth curves'!$E$2:$E$46,1),1)))))*(INDEX('Earth curves'!$F$2:$F$46,MAX(1,MIN(44,IFERROR(MATCH(W57,'Earth curves'!$E$2:$E$46,1),1)))+1)-INDEX('Earth curves'!$F$2:$F$46,MAX(1,MIN(44,IFERROR(MATCH(W57,'Earth curves'!$E$2:$E$46,1),1)))))/(INDEX('Earth curves'!$E$2:$E$46,MAX(1,MIN(44,IFERROR(MATCH(W57,'Earth curves'!$E$2:$E$46,1),1)))+1)-INDEX('Earth curves'!$E$2:$E$46,MAX(1,MIN(44,IFERROR(MATCH(W57,'Earth curves'!$E$2:$E$46,1),1))))))</f>
        <v/>
      </c>
      <c r="Y57" s="6">
        <f>(INDEX('Earth curves'!$G$2:$G$46,MAX(1,MIN(44,IFERROR(MATCH(W57,'Earth curves'!$E$2:$E$46,1),1))))+(W57-INDEX('Earth curves'!$E$2:$E$46,MAX(1,MIN(44,IFERROR(MATCH(W57,'Earth curves'!$E$2:$E$46,1),1)))))*(INDEX('Earth curves'!$G$2:$G$46,MAX(1,MIN(44,IFERROR(MATCH(W57,'Earth curves'!$E$2:$E$46,1),1)))+1)-INDEX('Earth curves'!$G$2:$G$46,MAX(1,MIN(44,IFERROR(MATCH(W57,'Earth curves'!$E$2:$E$46,1),1)))))/(INDEX('Earth curves'!$E$2:$E$46,MAX(1,MIN(44,IFERROR(MATCH(W57,'Earth curves'!$E$2:$E$46,1),1)))+1)-INDEX('Earth curves'!$E$2:$E$46,MAX(1,MIN(44,IFERROR(MATCH(W57,'Earth curves'!$E$2:$E$46,1),1))))))</f>
        <v/>
      </c>
      <c r="Z57" s="6">
        <f>(MIN(X57/Config!$B$9,1)+MIN(Y57/Config!$B$10,1))/2</f>
        <v/>
      </c>
      <c r="AA57" s="10">
        <f>ROUND(MIN(22,MAX(3,X57*W57/Z57)),1)</f>
        <v/>
      </c>
      <c r="AB57" s="11" t="n"/>
      <c r="AC57" s="10">
        <f>IF(AB57="",AA57,AB57)</f>
        <v/>
      </c>
      <c r="AD57" s="10">
        <f>ROUND(MIN(Config!$B$10,MAX(1,Y57*W57/Z57)),1)</f>
        <v/>
      </c>
      <c r="AE57" s="11" t="n"/>
      <c r="AF57" s="10">
        <f>IF(AE57="",AD57,AE57)</f>
        <v/>
      </c>
      <c r="AG57" s="9">
        <f>(V57-Config!$B$7)/(Config!$B$8-Config!$B$7)</f>
        <v/>
      </c>
      <c r="AH57" s="9">
        <f>(MIN(AC57/Config!$B$9,1)+MIN(AF57/Config!$B$10,1))/2</f>
        <v/>
      </c>
      <c r="AI57" s="12">
        <f>ROUND((AG57*AH57*G57)^(1/3),3)</f>
        <v/>
      </c>
      <c r="AJ57" s="12" t="n">
        <v>0.715</v>
      </c>
      <c r="AK57" s="13">
        <f>AI57-AJ57</f>
        <v/>
      </c>
      <c r="AL57" s="13">
        <f>AK57-AVERAGE($AK$2:$AK$173)</f>
        <v/>
      </c>
      <c r="AM57" s="6">
        <f>IF(ABS(AL57)&gt;Config!$B$11,"REVIEW","")</f>
        <v/>
      </c>
      <c r="AN57" s="14">
        <f>RANK(AI57,$AI$2:$AI$173)</f>
        <v/>
      </c>
      <c r="AO57" s="14">
        <f>RANK(AJ57,$AJ$2:$AJ$173)</f>
        <v/>
      </c>
      <c r="AP57" s="14" t="n">
        <v>57</v>
      </c>
    </row>
    <row r="58">
      <c r="A58" s="6" t="inlineStr">
        <is>
          <t>Hyelen</t>
        </is>
      </c>
      <c r="B58" s="6" t="inlineStr">
        <is>
          <t>Quia</t>
        </is>
      </c>
      <c r="C58" s="6" t="inlineStr">
        <is>
          <t>—</t>
        </is>
      </c>
      <c r="D58" s="7" t="n">
        <v>19556</v>
      </c>
      <c r="E58" s="8">
        <f>D58*Config!$B$4</f>
        <v/>
      </c>
      <c r="F58" s="6">
        <f>LN(MAX(60,E58))</f>
        <v/>
      </c>
      <c r="G58" s="9">
        <f>MEDIAN(0,(F58-LN(Config!$B$5))/(LN(Config!$B$6)-LN(Config!$B$5)),1)</f>
        <v/>
      </c>
      <c r="H58" s="6">
        <f>MOD((Config!$B$2+$AP58*7919)*9301+49297,233280)/233280</f>
        <v/>
      </c>
      <c r="I58" s="6">
        <f>MOD((Config!$B$2+$AP58*104729)*4096+150889,714025)/714025</f>
        <v/>
      </c>
      <c r="J58" s="6">
        <f>MOD((Config!$B$2*31+$AP58*15485863)*1366+150889,714025)/714025</f>
        <v/>
      </c>
      <c r="K58" s="6" t="n"/>
      <c r="L58" s="6" t="n"/>
      <c r="M58" s="6">
        <f>COUNTIF(Siblings!$A$2:$A$84,B58)</f>
        <v/>
      </c>
      <c r="N58" s="6">
        <f>1+INT(J58*M58)</f>
        <v/>
      </c>
      <c r="O58" s="6">
        <f>IF(K58&lt;&gt;"",K58,IFERROR(INDEX(Siblings!$D$2:$D$84,MATCH(B58&amp;"|"&amp;N58,Siblings!$F$2:$F$84,0)),0))</f>
        <v/>
      </c>
      <c r="P58" s="6">
        <f>IF(L58&lt;&gt;"",L58,IFERROR(INDEX(Siblings!$E$2:$E$84,MATCH(B58&amp;"|"&amp;N58,Siblings!$F$2:$F$84,0)),0))</f>
        <v/>
      </c>
      <c r="Q58" s="6">
        <f>(INDEX('Earth curves'!$B$2:$B$46,MAX(1,MIN(44,IFERROR(MATCH(F58,'Earth curves'!$A$2:$A$46,1),1))))+(F58-INDEX('Earth curves'!$A$2:$A$46,MAX(1,MIN(44,IFERROR(MATCH(F58,'Earth curves'!$A$2:$A$46,1),1)))))*(INDEX('Earth curves'!$B$2:$B$46,MAX(1,MIN(44,IFERROR(MATCH(F58,'Earth curves'!$A$2:$A$46,1),1)))+1)-INDEX('Earth curves'!$B$2:$B$46,MAX(1,MIN(44,IFERROR(MATCH(F58,'Earth curves'!$A$2:$A$46,1),1)))))/(INDEX('Earth curves'!$A$2:$A$46,MAX(1,MIN(44,IFERROR(MATCH(F58,'Earth curves'!$A$2:$A$46,1),1)))+1)-INDEX('Earth curves'!$A$2:$A$46,MAX(1,MIN(44,IFERROR(MATCH(F58,'Earth curves'!$A$2:$A$46,1),1))))))</f>
        <v/>
      </c>
      <c r="R58" s="6">
        <f>(INDEX('Earth curves'!$C$2:$C$46,MAX(1,MIN(44,IFERROR(MATCH(F58,'Earth curves'!$A$2:$A$46,1),1))))+(F58-INDEX('Earth curves'!$A$2:$A$46,MAX(1,MIN(44,IFERROR(MATCH(F58,'Earth curves'!$A$2:$A$46,1),1)))))*(INDEX('Earth curves'!$C$2:$C$46,MAX(1,MIN(44,IFERROR(MATCH(F58,'Earth curves'!$A$2:$A$46,1),1)))+1)-INDEX('Earth curves'!$C$2:$C$46,MAX(1,MIN(44,IFERROR(MATCH(F58,'Earth curves'!$A$2:$A$46,1),1)))))/(INDEX('Earth curves'!$A$2:$A$46,MAX(1,MIN(44,IFERROR(MATCH(F58,'Earth curves'!$A$2:$A$46,1),1)))+1)-INDEX('Earth curves'!$A$2:$A$46,MAX(1,MIN(44,IFERROR(MATCH(F58,'Earth curves'!$A$2:$A$46,1),1))))))</f>
        <v/>
      </c>
      <c r="S58" s="6">
        <f>MEDIAN(0.307692,Q58+MEDIAN(-0.350583,O58+NORMSINV(H58)*0.064828*Config!$B$3,0.120277),0.993846)</f>
        <v/>
      </c>
      <c r="T58" s="10">
        <f>ROUND(Config!$B$7+(Config!$B$8-Config!$B$7)*S58,1)</f>
        <v/>
      </c>
      <c r="U58" s="11" t="n"/>
      <c r="V58" s="10">
        <f>IF(U58="",T58,U58)</f>
        <v/>
      </c>
      <c r="W58" s="6">
        <f>MEDIAN(0.05,R58+MEDIAN(-0.302219,P58+NORMSINV(I58)*0.089531*Config!$B$3,0.274961),0.999)</f>
        <v/>
      </c>
      <c r="X58" s="6">
        <f>(INDEX('Earth curves'!$F$2:$F$46,MAX(1,MIN(44,IFERROR(MATCH(W58,'Earth curves'!$E$2:$E$46,1),1))))+(W58-INDEX('Earth curves'!$E$2:$E$46,MAX(1,MIN(44,IFERROR(MATCH(W58,'Earth curves'!$E$2:$E$46,1),1)))))*(INDEX('Earth curves'!$F$2:$F$46,MAX(1,MIN(44,IFERROR(MATCH(W58,'Earth curves'!$E$2:$E$46,1),1)))+1)-INDEX('Earth curves'!$F$2:$F$46,MAX(1,MIN(44,IFERROR(MATCH(W58,'Earth curves'!$E$2:$E$46,1),1)))))/(INDEX('Earth curves'!$E$2:$E$46,MAX(1,MIN(44,IFERROR(MATCH(W58,'Earth curves'!$E$2:$E$46,1),1)))+1)-INDEX('Earth curves'!$E$2:$E$46,MAX(1,MIN(44,IFERROR(MATCH(W58,'Earth curves'!$E$2:$E$46,1),1))))))</f>
        <v/>
      </c>
      <c r="Y58" s="6">
        <f>(INDEX('Earth curves'!$G$2:$G$46,MAX(1,MIN(44,IFERROR(MATCH(W58,'Earth curves'!$E$2:$E$46,1),1))))+(W58-INDEX('Earth curves'!$E$2:$E$46,MAX(1,MIN(44,IFERROR(MATCH(W58,'Earth curves'!$E$2:$E$46,1),1)))))*(INDEX('Earth curves'!$G$2:$G$46,MAX(1,MIN(44,IFERROR(MATCH(W58,'Earth curves'!$E$2:$E$46,1),1)))+1)-INDEX('Earth curves'!$G$2:$G$46,MAX(1,MIN(44,IFERROR(MATCH(W58,'Earth curves'!$E$2:$E$46,1),1)))))/(INDEX('Earth curves'!$E$2:$E$46,MAX(1,MIN(44,IFERROR(MATCH(W58,'Earth curves'!$E$2:$E$46,1),1)))+1)-INDEX('Earth curves'!$E$2:$E$46,MAX(1,MIN(44,IFERROR(MATCH(W58,'Earth curves'!$E$2:$E$46,1),1))))))</f>
        <v/>
      </c>
      <c r="Z58" s="6">
        <f>(MIN(X58/Config!$B$9,1)+MIN(Y58/Config!$B$10,1))/2</f>
        <v/>
      </c>
      <c r="AA58" s="10">
        <f>ROUND(MIN(22,MAX(3,X58*W58/Z58)),1)</f>
        <v/>
      </c>
      <c r="AB58" s="11" t="n"/>
      <c r="AC58" s="10">
        <f>IF(AB58="",AA58,AB58)</f>
        <v/>
      </c>
      <c r="AD58" s="10">
        <f>ROUND(MIN(Config!$B$10,MAX(1,Y58*W58/Z58)),1)</f>
        <v/>
      </c>
      <c r="AE58" s="11" t="n"/>
      <c r="AF58" s="10">
        <f>IF(AE58="",AD58,AE58)</f>
        <v/>
      </c>
      <c r="AG58" s="9">
        <f>(V58-Config!$B$7)/(Config!$B$8-Config!$B$7)</f>
        <v/>
      </c>
      <c r="AH58" s="9">
        <f>(MIN(AC58/Config!$B$9,1)+MIN(AF58/Config!$B$10,1))/2</f>
        <v/>
      </c>
      <c r="AI58" s="12">
        <f>ROUND((AG58*AH58*G58)^(1/3),3)</f>
        <v/>
      </c>
      <c r="AJ58" s="12" t="n">
        <v>0.708</v>
      </c>
      <c r="AK58" s="13">
        <f>AI58-AJ58</f>
        <v/>
      </c>
      <c r="AL58" s="13">
        <f>AK58-AVERAGE($AK$2:$AK$173)</f>
        <v/>
      </c>
      <c r="AM58" s="6">
        <f>IF(ABS(AL58)&gt;Config!$B$11,"REVIEW","")</f>
        <v/>
      </c>
      <c r="AN58" s="14">
        <f>RANK(AI58,$AI$2:$AI$173)</f>
        <v/>
      </c>
      <c r="AO58" s="14">
        <f>RANK(AJ58,$AJ$2:$AJ$173)</f>
        <v/>
      </c>
      <c r="AP58" s="14" t="n">
        <v>58</v>
      </c>
    </row>
    <row r="59">
      <c r="A59" s="6" t="inlineStr">
        <is>
          <t>Iainoa</t>
        </is>
      </c>
      <c r="B59" s="6" t="inlineStr">
        <is>
          <t>New Ayre</t>
        </is>
      </c>
      <c r="C59" s="6" t="inlineStr">
        <is>
          <t>resource</t>
        </is>
      </c>
      <c r="D59" s="7" t="n">
        <v>29143</v>
      </c>
      <c r="E59" s="8">
        <f>D59*Config!$B$4</f>
        <v/>
      </c>
      <c r="F59" s="6">
        <f>LN(MAX(60,E59))</f>
        <v/>
      </c>
      <c r="G59" s="9">
        <f>MEDIAN(0,(F59-LN(Config!$B$5))/(LN(Config!$B$6)-LN(Config!$B$5)),1)</f>
        <v/>
      </c>
      <c r="H59" s="6">
        <f>MOD((Config!$B$2+$AP59*7919)*9301+49297,233280)/233280</f>
        <v/>
      </c>
      <c r="I59" s="6">
        <f>MOD((Config!$B$2+$AP59*104729)*4096+150889,714025)/714025</f>
        <v/>
      </c>
      <c r="J59" s="6">
        <f>MOD((Config!$B$2*31+$AP59*15485863)*1366+150889,714025)/714025</f>
        <v/>
      </c>
      <c r="K59" s="6" t="n">
        <v>0.060531</v>
      </c>
      <c r="L59" s="6" t="n">
        <v>0.031221</v>
      </c>
      <c r="M59" s="6">
        <f>COUNTIF(Siblings!$A$2:$A$84,B59)</f>
        <v/>
      </c>
      <c r="N59" s="6">
        <f>1+INT(J59*M59)</f>
        <v/>
      </c>
      <c r="O59" s="6">
        <f>IF(K59&lt;&gt;"",K59,IFERROR(INDEX(Siblings!$D$2:$D$84,MATCH(B59&amp;"|"&amp;N59,Siblings!$F$2:$F$84,0)),0))</f>
        <v/>
      </c>
      <c r="P59" s="6">
        <f>IF(L59&lt;&gt;"",L59,IFERROR(INDEX(Siblings!$E$2:$E$84,MATCH(B59&amp;"|"&amp;N59,Siblings!$F$2:$F$84,0)),0))</f>
        <v/>
      </c>
      <c r="Q59" s="6">
        <f>(INDEX('Earth curves'!$B$2:$B$46,MAX(1,MIN(44,IFERROR(MATCH(F59,'Earth curves'!$A$2:$A$46,1),1))))+(F59-INDEX('Earth curves'!$A$2:$A$46,MAX(1,MIN(44,IFERROR(MATCH(F59,'Earth curves'!$A$2:$A$46,1),1)))))*(INDEX('Earth curves'!$B$2:$B$46,MAX(1,MIN(44,IFERROR(MATCH(F59,'Earth curves'!$A$2:$A$46,1),1)))+1)-INDEX('Earth curves'!$B$2:$B$46,MAX(1,MIN(44,IFERROR(MATCH(F59,'Earth curves'!$A$2:$A$46,1),1)))))/(INDEX('Earth curves'!$A$2:$A$46,MAX(1,MIN(44,IFERROR(MATCH(F59,'Earth curves'!$A$2:$A$46,1),1)))+1)-INDEX('Earth curves'!$A$2:$A$46,MAX(1,MIN(44,IFERROR(MATCH(F59,'Earth curves'!$A$2:$A$46,1),1))))))</f>
        <v/>
      </c>
      <c r="R59" s="6">
        <f>(INDEX('Earth curves'!$C$2:$C$46,MAX(1,MIN(44,IFERROR(MATCH(F59,'Earth curves'!$A$2:$A$46,1),1))))+(F59-INDEX('Earth curves'!$A$2:$A$46,MAX(1,MIN(44,IFERROR(MATCH(F59,'Earth curves'!$A$2:$A$46,1),1)))))*(INDEX('Earth curves'!$C$2:$C$46,MAX(1,MIN(44,IFERROR(MATCH(F59,'Earth curves'!$A$2:$A$46,1),1)))+1)-INDEX('Earth curves'!$C$2:$C$46,MAX(1,MIN(44,IFERROR(MATCH(F59,'Earth curves'!$A$2:$A$46,1),1)))))/(INDEX('Earth curves'!$A$2:$A$46,MAX(1,MIN(44,IFERROR(MATCH(F59,'Earth curves'!$A$2:$A$46,1),1)))+1)-INDEX('Earth curves'!$A$2:$A$46,MAX(1,MIN(44,IFERROR(MATCH(F59,'Earth curves'!$A$2:$A$46,1),1))))))</f>
        <v/>
      </c>
      <c r="S59" s="6">
        <f>MEDIAN(0.307692,Q59+MEDIAN(-0.350583,O59+NORMSINV(H59)*0.064828*Config!$B$3,0.120277),0.993846)</f>
        <v/>
      </c>
      <c r="T59" s="10">
        <f>ROUND(Config!$B$7+(Config!$B$8-Config!$B$7)*S59,1)</f>
        <v/>
      </c>
      <c r="U59" s="11" t="n"/>
      <c r="V59" s="10">
        <f>IF(U59="",T59,U59)</f>
        <v/>
      </c>
      <c r="W59" s="6">
        <f>MEDIAN(0.05,R59+MEDIAN(-0.302219,P59+NORMSINV(I59)*0.089531*Config!$B$3,0.274961),0.999)</f>
        <v/>
      </c>
      <c r="X59" s="6">
        <f>(INDEX('Earth curves'!$F$2:$F$46,MAX(1,MIN(44,IFERROR(MATCH(W59,'Earth curves'!$E$2:$E$46,1),1))))+(W59-INDEX('Earth curves'!$E$2:$E$46,MAX(1,MIN(44,IFERROR(MATCH(W59,'Earth curves'!$E$2:$E$46,1),1)))))*(INDEX('Earth curves'!$F$2:$F$46,MAX(1,MIN(44,IFERROR(MATCH(W59,'Earth curves'!$E$2:$E$46,1),1)))+1)-INDEX('Earth curves'!$F$2:$F$46,MAX(1,MIN(44,IFERROR(MATCH(W59,'Earth curves'!$E$2:$E$46,1),1)))))/(INDEX('Earth curves'!$E$2:$E$46,MAX(1,MIN(44,IFERROR(MATCH(W59,'Earth curves'!$E$2:$E$46,1),1)))+1)-INDEX('Earth curves'!$E$2:$E$46,MAX(1,MIN(44,IFERROR(MATCH(W59,'Earth curves'!$E$2:$E$46,1),1))))))</f>
        <v/>
      </c>
      <c r="Y59" s="6">
        <f>(INDEX('Earth curves'!$G$2:$G$46,MAX(1,MIN(44,IFERROR(MATCH(W59,'Earth curves'!$E$2:$E$46,1),1))))+(W59-INDEX('Earth curves'!$E$2:$E$46,MAX(1,MIN(44,IFERROR(MATCH(W59,'Earth curves'!$E$2:$E$46,1),1)))))*(INDEX('Earth curves'!$G$2:$G$46,MAX(1,MIN(44,IFERROR(MATCH(W59,'Earth curves'!$E$2:$E$46,1),1)))+1)-INDEX('Earth curves'!$G$2:$G$46,MAX(1,MIN(44,IFERROR(MATCH(W59,'Earth curves'!$E$2:$E$46,1),1)))))/(INDEX('Earth curves'!$E$2:$E$46,MAX(1,MIN(44,IFERROR(MATCH(W59,'Earth curves'!$E$2:$E$46,1),1)))+1)-INDEX('Earth curves'!$E$2:$E$46,MAX(1,MIN(44,IFERROR(MATCH(W59,'Earth curves'!$E$2:$E$46,1),1))))))</f>
        <v/>
      </c>
      <c r="Z59" s="6">
        <f>(MIN(X59/Config!$B$9,1)+MIN(Y59/Config!$B$10,1))/2</f>
        <v/>
      </c>
      <c r="AA59" s="10">
        <f>ROUND(MIN(22,MAX(3,X59*W59/Z59)),1)</f>
        <v/>
      </c>
      <c r="AB59" s="11" t="n"/>
      <c r="AC59" s="10">
        <f>IF(AB59="",AA59,AB59)</f>
        <v/>
      </c>
      <c r="AD59" s="10">
        <f>ROUND(MIN(Config!$B$10,MAX(1,Y59*W59/Z59)),1)</f>
        <v/>
      </c>
      <c r="AE59" s="11" t="n"/>
      <c r="AF59" s="10">
        <f>IF(AE59="",AD59,AE59)</f>
        <v/>
      </c>
      <c r="AG59" s="9">
        <f>(V59-Config!$B$7)/(Config!$B$8-Config!$B$7)</f>
        <v/>
      </c>
      <c r="AH59" s="9">
        <f>(MIN(AC59/Config!$B$9,1)+MIN(AF59/Config!$B$10,1))/2</f>
        <v/>
      </c>
      <c r="AI59" s="12">
        <f>ROUND((AG59*AH59*G59)^(1/3),3)</f>
        <v/>
      </c>
      <c r="AJ59" s="12" t="n">
        <v>0.785</v>
      </c>
      <c r="AK59" s="13">
        <f>AI59-AJ59</f>
        <v/>
      </c>
      <c r="AL59" s="13">
        <f>AK59-AVERAGE($AK$2:$AK$173)</f>
        <v/>
      </c>
      <c r="AM59" s="6">
        <f>IF(ABS(AL59)&gt;Config!$B$11,"REVIEW","")</f>
        <v/>
      </c>
      <c r="AN59" s="14">
        <f>RANK(AI59,$AI$2:$AI$173)</f>
        <v/>
      </c>
      <c r="AO59" s="14">
        <f>RANK(AJ59,$AJ$2:$AJ$173)</f>
        <v/>
      </c>
      <c r="AP59" s="14" t="n">
        <v>59</v>
      </c>
    </row>
    <row r="60">
      <c r="A60" s="6" t="inlineStr">
        <is>
          <t>Iareva</t>
        </is>
      </c>
      <c r="B60" s="6" t="inlineStr">
        <is>
          <t>Quia</t>
        </is>
      </c>
      <c r="C60" s="6" t="inlineStr">
        <is>
          <t>petro, resource</t>
        </is>
      </c>
      <c r="D60" s="7" t="n">
        <v>165079</v>
      </c>
      <c r="E60" s="8">
        <f>D60*Config!$B$4</f>
        <v/>
      </c>
      <c r="F60" s="6">
        <f>LN(MAX(60,E60))</f>
        <v/>
      </c>
      <c r="G60" s="9">
        <f>MEDIAN(0,(F60-LN(Config!$B$5))/(LN(Config!$B$6)-LN(Config!$B$5)),1)</f>
        <v/>
      </c>
      <c r="H60" s="6">
        <f>MOD((Config!$B$2+$AP60*7919)*9301+49297,233280)/233280</f>
        <v/>
      </c>
      <c r="I60" s="6">
        <f>MOD((Config!$B$2+$AP60*104729)*4096+150889,714025)/714025</f>
        <v/>
      </c>
      <c r="J60" s="6">
        <f>MOD((Config!$B$2*31+$AP60*15485863)*1366+150889,714025)/714025</f>
        <v/>
      </c>
      <c r="K60" s="6" t="n">
        <v>-0.00825</v>
      </c>
      <c r="L60" s="6" t="n">
        <v>0.08230700000000001</v>
      </c>
      <c r="M60" s="6">
        <f>COUNTIF(Siblings!$A$2:$A$84,B60)</f>
        <v/>
      </c>
      <c r="N60" s="6">
        <f>1+INT(J60*M60)</f>
        <v/>
      </c>
      <c r="O60" s="6">
        <f>IF(K60&lt;&gt;"",K60,IFERROR(INDEX(Siblings!$D$2:$D$84,MATCH(B60&amp;"|"&amp;N60,Siblings!$F$2:$F$84,0)),0))</f>
        <v/>
      </c>
      <c r="P60" s="6">
        <f>IF(L60&lt;&gt;"",L60,IFERROR(INDEX(Siblings!$E$2:$E$84,MATCH(B60&amp;"|"&amp;N60,Siblings!$F$2:$F$84,0)),0))</f>
        <v/>
      </c>
      <c r="Q60" s="6">
        <f>(INDEX('Earth curves'!$B$2:$B$46,MAX(1,MIN(44,IFERROR(MATCH(F60,'Earth curves'!$A$2:$A$46,1),1))))+(F60-INDEX('Earth curves'!$A$2:$A$46,MAX(1,MIN(44,IFERROR(MATCH(F60,'Earth curves'!$A$2:$A$46,1),1)))))*(INDEX('Earth curves'!$B$2:$B$46,MAX(1,MIN(44,IFERROR(MATCH(F60,'Earth curves'!$A$2:$A$46,1),1)))+1)-INDEX('Earth curves'!$B$2:$B$46,MAX(1,MIN(44,IFERROR(MATCH(F60,'Earth curves'!$A$2:$A$46,1),1)))))/(INDEX('Earth curves'!$A$2:$A$46,MAX(1,MIN(44,IFERROR(MATCH(F60,'Earth curves'!$A$2:$A$46,1),1)))+1)-INDEX('Earth curves'!$A$2:$A$46,MAX(1,MIN(44,IFERROR(MATCH(F60,'Earth curves'!$A$2:$A$46,1),1))))))</f>
        <v/>
      </c>
      <c r="R60" s="6">
        <f>(INDEX('Earth curves'!$C$2:$C$46,MAX(1,MIN(44,IFERROR(MATCH(F60,'Earth curves'!$A$2:$A$46,1),1))))+(F60-INDEX('Earth curves'!$A$2:$A$46,MAX(1,MIN(44,IFERROR(MATCH(F60,'Earth curves'!$A$2:$A$46,1),1)))))*(INDEX('Earth curves'!$C$2:$C$46,MAX(1,MIN(44,IFERROR(MATCH(F60,'Earth curves'!$A$2:$A$46,1),1)))+1)-INDEX('Earth curves'!$C$2:$C$46,MAX(1,MIN(44,IFERROR(MATCH(F60,'Earth curves'!$A$2:$A$46,1),1)))))/(INDEX('Earth curves'!$A$2:$A$46,MAX(1,MIN(44,IFERROR(MATCH(F60,'Earth curves'!$A$2:$A$46,1),1)))+1)-INDEX('Earth curves'!$A$2:$A$46,MAX(1,MIN(44,IFERROR(MATCH(F60,'Earth curves'!$A$2:$A$46,1),1))))))</f>
        <v/>
      </c>
      <c r="S60" s="6">
        <f>MEDIAN(0.307692,Q60+MEDIAN(-0.350583,O60+NORMSINV(H60)*0.064828*Config!$B$3,0.120277),0.993846)</f>
        <v/>
      </c>
      <c r="T60" s="10">
        <f>ROUND(Config!$B$7+(Config!$B$8-Config!$B$7)*S60,1)</f>
        <v/>
      </c>
      <c r="U60" s="11" t="n"/>
      <c r="V60" s="10">
        <f>IF(U60="",T60,U60)</f>
        <v/>
      </c>
      <c r="W60" s="6">
        <f>MEDIAN(0.05,R60+MEDIAN(-0.302219,P60+NORMSINV(I60)*0.089531*Config!$B$3,0.274961),0.999)</f>
        <v/>
      </c>
      <c r="X60" s="6">
        <f>(INDEX('Earth curves'!$F$2:$F$46,MAX(1,MIN(44,IFERROR(MATCH(W60,'Earth curves'!$E$2:$E$46,1),1))))+(W60-INDEX('Earth curves'!$E$2:$E$46,MAX(1,MIN(44,IFERROR(MATCH(W60,'Earth curves'!$E$2:$E$46,1),1)))))*(INDEX('Earth curves'!$F$2:$F$46,MAX(1,MIN(44,IFERROR(MATCH(W60,'Earth curves'!$E$2:$E$46,1),1)))+1)-INDEX('Earth curves'!$F$2:$F$46,MAX(1,MIN(44,IFERROR(MATCH(W60,'Earth curves'!$E$2:$E$46,1),1)))))/(INDEX('Earth curves'!$E$2:$E$46,MAX(1,MIN(44,IFERROR(MATCH(W60,'Earth curves'!$E$2:$E$46,1),1)))+1)-INDEX('Earth curves'!$E$2:$E$46,MAX(1,MIN(44,IFERROR(MATCH(W60,'Earth curves'!$E$2:$E$46,1),1))))))</f>
        <v/>
      </c>
      <c r="Y60" s="6">
        <f>(INDEX('Earth curves'!$G$2:$G$46,MAX(1,MIN(44,IFERROR(MATCH(W60,'Earth curves'!$E$2:$E$46,1),1))))+(W60-INDEX('Earth curves'!$E$2:$E$46,MAX(1,MIN(44,IFERROR(MATCH(W60,'Earth curves'!$E$2:$E$46,1),1)))))*(INDEX('Earth curves'!$G$2:$G$46,MAX(1,MIN(44,IFERROR(MATCH(W60,'Earth curves'!$E$2:$E$46,1),1)))+1)-INDEX('Earth curves'!$G$2:$G$46,MAX(1,MIN(44,IFERROR(MATCH(W60,'Earth curves'!$E$2:$E$46,1),1)))))/(INDEX('Earth curves'!$E$2:$E$46,MAX(1,MIN(44,IFERROR(MATCH(W60,'Earth curves'!$E$2:$E$46,1),1)))+1)-INDEX('Earth curves'!$E$2:$E$46,MAX(1,MIN(44,IFERROR(MATCH(W60,'Earth curves'!$E$2:$E$46,1),1))))))</f>
        <v/>
      </c>
      <c r="Z60" s="6">
        <f>(MIN(X60/Config!$B$9,1)+MIN(Y60/Config!$B$10,1))/2</f>
        <v/>
      </c>
      <c r="AA60" s="10">
        <f>ROUND(MIN(22,MAX(3,X60*W60/Z60)),1)</f>
        <v/>
      </c>
      <c r="AB60" s="11" t="n"/>
      <c r="AC60" s="10">
        <f>IF(AB60="",AA60,AB60)</f>
        <v/>
      </c>
      <c r="AD60" s="10">
        <f>ROUND(MIN(Config!$B$10,MAX(1,Y60*W60/Z60)),1)</f>
        <v/>
      </c>
      <c r="AE60" s="11" t="n"/>
      <c r="AF60" s="10">
        <f>IF(AE60="",AD60,AE60)</f>
        <v/>
      </c>
      <c r="AG60" s="9">
        <f>(V60-Config!$B$7)/(Config!$B$8-Config!$B$7)</f>
        <v/>
      </c>
      <c r="AH60" s="9">
        <f>(MIN(AC60/Config!$B$9,1)+MIN(AF60/Config!$B$10,1))/2</f>
        <v/>
      </c>
      <c r="AI60" s="12">
        <f>ROUND((AG60*AH60*G60)^(1/3),3)</f>
        <v/>
      </c>
      <c r="AJ60" s="12" t="n">
        <v>0.876</v>
      </c>
      <c r="AK60" s="13">
        <f>AI60-AJ60</f>
        <v/>
      </c>
      <c r="AL60" s="13">
        <f>AK60-AVERAGE($AK$2:$AK$173)</f>
        <v/>
      </c>
      <c r="AM60" s="6">
        <f>IF(ABS(AL60)&gt;Config!$B$11,"REVIEW","")</f>
        <v/>
      </c>
      <c r="AN60" s="14">
        <f>RANK(AI60,$AI$2:$AI$173)</f>
        <v/>
      </c>
      <c r="AO60" s="14">
        <f>RANK(AJ60,$AJ$2:$AJ$173)</f>
        <v/>
      </c>
      <c r="AP60" s="14" t="n">
        <v>60</v>
      </c>
    </row>
    <row r="61">
      <c r="A61" s="6" t="inlineStr">
        <is>
          <t>Ihner</t>
        </is>
      </c>
      <c r="B61" s="6" t="inlineStr">
        <is>
          <t>Massir</t>
        </is>
      </c>
      <c r="C61" s="6" t="inlineStr">
        <is>
          <t>resource</t>
        </is>
      </c>
      <c r="D61" s="7" t="n">
        <v>29238</v>
      </c>
      <c r="E61" s="8">
        <f>D61*Config!$B$4</f>
        <v/>
      </c>
      <c r="F61" s="6">
        <f>LN(MAX(60,E61))</f>
        <v/>
      </c>
      <c r="G61" s="9">
        <f>MEDIAN(0,(F61-LN(Config!$B$5))/(LN(Config!$B$6)-LN(Config!$B$5)),1)</f>
        <v/>
      </c>
      <c r="H61" s="6">
        <f>MOD((Config!$B$2+$AP61*7919)*9301+49297,233280)/233280</f>
        <v/>
      </c>
      <c r="I61" s="6">
        <f>MOD((Config!$B$2+$AP61*104729)*4096+150889,714025)/714025</f>
        <v/>
      </c>
      <c r="J61" s="6">
        <f>MOD((Config!$B$2*31+$AP61*15485863)*1366+150889,714025)/714025</f>
        <v/>
      </c>
      <c r="K61" s="6" t="n"/>
      <c r="L61" s="6" t="n"/>
      <c r="M61" s="6">
        <f>COUNTIF(Siblings!$A$2:$A$84,B61)</f>
        <v/>
      </c>
      <c r="N61" s="6">
        <f>1+INT(J61*M61)</f>
        <v/>
      </c>
      <c r="O61" s="6">
        <f>IF(K61&lt;&gt;"",K61,IFERROR(INDEX(Siblings!$D$2:$D$84,MATCH(B61&amp;"|"&amp;N61,Siblings!$F$2:$F$84,0)),0))</f>
        <v/>
      </c>
      <c r="P61" s="6">
        <f>IF(L61&lt;&gt;"",L61,IFERROR(INDEX(Siblings!$E$2:$E$84,MATCH(B61&amp;"|"&amp;N61,Siblings!$F$2:$F$84,0)),0))</f>
        <v/>
      </c>
      <c r="Q61" s="6">
        <f>(INDEX('Earth curves'!$B$2:$B$46,MAX(1,MIN(44,IFERROR(MATCH(F61,'Earth curves'!$A$2:$A$46,1),1))))+(F61-INDEX('Earth curves'!$A$2:$A$46,MAX(1,MIN(44,IFERROR(MATCH(F61,'Earth curves'!$A$2:$A$46,1),1)))))*(INDEX('Earth curves'!$B$2:$B$46,MAX(1,MIN(44,IFERROR(MATCH(F61,'Earth curves'!$A$2:$A$46,1),1)))+1)-INDEX('Earth curves'!$B$2:$B$46,MAX(1,MIN(44,IFERROR(MATCH(F61,'Earth curves'!$A$2:$A$46,1),1)))))/(INDEX('Earth curves'!$A$2:$A$46,MAX(1,MIN(44,IFERROR(MATCH(F61,'Earth curves'!$A$2:$A$46,1),1)))+1)-INDEX('Earth curves'!$A$2:$A$46,MAX(1,MIN(44,IFERROR(MATCH(F61,'Earth curves'!$A$2:$A$46,1),1))))))</f>
        <v/>
      </c>
      <c r="R61" s="6">
        <f>(INDEX('Earth curves'!$C$2:$C$46,MAX(1,MIN(44,IFERROR(MATCH(F61,'Earth curves'!$A$2:$A$46,1),1))))+(F61-INDEX('Earth curves'!$A$2:$A$46,MAX(1,MIN(44,IFERROR(MATCH(F61,'Earth curves'!$A$2:$A$46,1),1)))))*(INDEX('Earth curves'!$C$2:$C$46,MAX(1,MIN(44,IFERROR(MATCH(F61,'Earth curves'!$A$2:$A$46,1),1)))+1)-INDEX('Earth curves'!$C$2:$C$46,MAX(1,MIN(44,IFERROR(MATCH(F61,'Earth curves'!$A$2:$A$46,1),1)))))/(INDEX('Earth curves'!$A$2:$A$46,MAX(1,MIN(44,IFERROR(MATCH(F61,'Earth curves'!$A$2:$A$46,1),1)))+1)-INDEX('Earth curves'!$A$2:$A$46,MAX(1,MIN(44,IFERROR(MATCH(F61,'Earth curves'!$A$2:$A$46,1),1))))))</f>
        <v/>
      </c>
      <c r="S61" s="6">
        <f>MEDIAN(0.307692,Q61+MEDIAN(-0.350583,O61+NORMSINV(H61)*0.064828*Config!$B$3,0.120277),0.993846)</f>
        <v/>
      </c>
      <c r="T61" s="10">
        <f>ROUND(Config!$B$7+(Config!$B$8-Config!$B$7)*S61,1)</f>
        <v/>
      </c>
      <c r="U61" s="11" t="n"/>
      <c r="V61" s="10">
        <f>IF(U61="",T61,U61)</f>
        <v/>
      </c>
      <c r="W61" s="6">
        <f>MEDIAN(0.05,R61+MEDIAN(-0.302219,P61+NORMSINV(I61)*0.089531*Config!$B$3,0.274961),0.999)</f>
        <v/>
      </c>
      <c r="X61" s="6">
        <f>(INDEX('Earth curves'!$F$2:$F$46,MAX(1,MIN(44,IFERROR(MATCH(W61,'Earth curves'!$E$2:$E$46,1),1))))+(W61-INDEX('Earth curves'!$E$2:$E$46,MAX(1,MIN(44,IFERROR(MATCH(W61,'Earth curves'!$E$2:$E$46,1),1)))))*(INDEX('Earth curves'!$F$2:$F$46,MAX(1,MIN(44,IFERROR(MATCH(W61,'Earth curves'!$E$2:$E$46,1),1)))+1)-INDEX('Earth curves'!$F$2:$F$46,MAX(1,MIN(44,IFERROR(MATCH(W61,'Earth curves'!$E$2:$E$46,1),1)))))/(INDEX('Earth curves'!$E$2:$E$46,MAX(1,MIN(44,IFERROR(MATCH(W61,'Earth curves'!$E$2:$E$46,1),1)))+1)-INDEX('Earth curves'!$E$2:$E$46,MAX(1,MIN(44,IFERROR(MATCH(W61,'Earth curves'!$E$2:$E$46,1),1))))))</f>
        <v/>
      </c>
      <c r="Y61" s="6">
        <f>(INDEX('Earth curves'!$G$2:$G$46,MAX(1,MIN(44,IFERROR(MATCH(W61,'Earth curves'!$E$2:$E$46,1),1))))+(W61-INDEX('Earth curves'!$E$2:$E$46,MAX(1,MIN(44,IFERROR(MATCH(W61,'Earth curves'!$E$2:$E$46,1),1)))))*(INDEX('Earth curves'!$G$2:$G$46,MAX(1,MIN(44,IFERROR(MATCH(W61,'Earth curves'!$E$2:$E$46,1),1)))+1)-INDEX('Earth curves'!$G$2:$G$46,MAX(1,MIN(44,IFERROR(MATCH(W61,'Earth curves'!$E$2:$E$46,1),1)))))/(INDEX('Earth curves'!$E$2:$E$46,MAX(1,MIN(44,IFERROR(MATCH(W61,'Earth curves'!$E$2:$E$46,1),1)))+1)-INDEX('Earth curves'!$E$2:$E$46,MAX(1,MIN(44,IFERROR(MATCH(W61,'Earth curves'!$E$2:$E$46,1),1))))))</f>
        <v/>
      </c>
      <c r="Z61" s="6">
        <f>(MIN(X61/Config!$B$9,1)+MIN(Y61/Config!$B$10,1))/2</f>
        <v/>
      </c>
      <c r="AA61" s="10">
        <f>ROUND(MIN(22,MAX(3,X61*W61/Z61)),1)</f>
        <v/>
      </c>
      <c r="AB61" s="11" t="n"/>
      <c r="AC61" s="10">
        <f>IF(AB61="",AA61,AB61)</f>
        <v/>
      </c>
      <c r="AD61" s="10">
        <f>ROUND(MIN(Config!$B$10,MAX(1,Y61*W61/Z61)),1)</f>
        <v/>
      </c>
      <c r="AE61" s="11" t="n"/>
      <c r="AF61" s="10">
        <f>IF(AE61="",AD61,AE61)</f>
        <v/>
      </c>
      <c r="AG61" s="9">
        <f>(V61-Config!$B$7)/(Config!$B$8-Config!$B$7)</f>
        <v/>
      </c>
      <c r="AH61" s="9">
        <f>(MIN(AC61/Config!$B$9,1)+MIN(AF61/Config!$B$10,1))/2</f>
        <v/>
      </c>
      <c r="AI61" s="12">
        <f>ROUND((AG61*AH61*G61)^(1/3),3)</f>
        <v/>
      </c>
      <c r="AJ61" s="12" t="n">
        <v>0.624</v>
      </c>
      <c r="AK61" s="13">
        <f>AI61-AJ61</f>
        <v/>
      </c>
      <c r="AL61" s="13">
        <f>AK61-AVERAGE($AK$2:$AK$173)</f>
        <v/>
      </c>
      <c r="AM61" s="6">
        <f>IF(ABS(AL61)&gt;Config!$B$11,"REVIEW","")</f>
        <v/>
      </c>
      <c r="AN61" s="14">
        <f>RANK(AI61,$AI$2:$AI$173)</f>
        <v/>
      </c>
      <c r="AO61" s="14">
        <f>RANK(AJ61,$AJ$2:$AJ$173)</f>
        <v/>
      </c>
      <c r="AP61" s="14" t="n">
        <v>61</v>
      </c>
    </row>
    <row r="62">
      <c r="A62" s="6" t="inlineStr">
        <is>
          <t>Ikzen</t>
        </is>
      </c>
      <c r="B62" s="6" t="inlineStr">
        <is>
          <t>Ayuma</t>
        </is>
      </c>
      <c r="C62" s="6" t="inlineStr">
        <is>
          <t>resource</t>
        </is>
      </c>
      <c r="D62" s="7" t="n">
        <v>17460</v>
      </c>
      <c r="E62" s="8">
        <f>D62*Config!$B$4</f>
        <v/>
      </c>
      <c r="F62" s="6">
        <f>LN(MAX(60,E62))</f>
        <v/>
      </c>
      <c r="G62" s="9">
        <f>MEDIAN(0,(F62-LN(Config!$B$5))/(LN(Config!$B$6)-LN(Config!$B$5)),1)</f>
        <v/>
      </c>
      <c r="H62" s="6">
        <f>MOD((Config!$B$2+$AP62*7919)*9301+49297,233280)/233280</f>
        <v/>
      </c>
      <c r="I62" s="6">
        <f>MOD((Config!$B$2+$AP62*104729)*4096+150889,714025)/714025</f>
        <v/>
      </c>
      <c r="J62" s="6">
        <f>MOD((Config!$B$2*31+$AP62*15485863)*1366+150889,714025)/714025</f>
        <v/>
      </c>
      <c r="K62" s="6" t="n"/>
      <c r="L62" s="6" t="n"/>
      <c r="M62" s="6">
        <f>COUNTIF(Siblings!$A$2:$A$84,B62)</f>
        <v/>
      </c>
      <c r="N62" s="6">
        <f>1+INT(J62*M62)</f>
        <v/>
      </c>
      <c r="O62" s="6">
        <f>IF(K62&lt;&gt;"",K62,IFERROR(INDEX(Siblings!$D$2:$D$84,MATCH(B62&amp;"|"&amp;N62,Siblings!$F$2:$F$84,0)),0))</f>
        <v/>
      </c>
      <c r="P62" s="6">
        <f>IF(L62&lt;&gt;"",L62,IFERROR(INDEX(Siblings!$E$2:$E$84,MATCH(B62&amp;"|"&amp;N62,Siblings!$F$2:$F$84,0)),0))</f>
        <v/>
      </c>
      <c r="Q62" s="6">
        <f>(INDEX('Earth curves'!$B$2:$B$46,MAX(1,MIN(44,IFERROR(MATCH(F62,'Earth curves'!$A$2:$A$46,1),1))))+(F62-INDEX('Earth curves'!$A$2:$A$46,MAX(1,MIN(44,IFERROR(MATCH(F62,'Earth curves'!$A$2:$A$46,1),1)))))*(INDEX('Earth curves'!$B$2:$B$46,MAX(1,MIN(44,IFERROR(MATCH(F62,'Earth curves'!$A$2:$A$46,1),1)))+1)-INDEX('Earth curves'!$B$2:$B$46,MAX(1,MIN(44,IFERROR(MATCH(F62,'Earth curves'!$A$2:$A$46,1),1)))))/(INDEX('Earth curves'!$A$2:$A$46,MAX(1,MIN(44,IFERROR(MATCH(F62,'Earth curves'!$A$2:$A$46,1),1)))+1)-INDEX('Earth curves'!$A$2:$A$46,MAX(1,MIN(44,IFERROR(MATCH(F62,'Earth curves'!$A$2:$A$46,1),1))))))</f>
        <v/>
      </c>
      <c r="R62" s="6">
        <f>(INDEX('Earth curves'!$C$2:$C$46,MAX(1,MIN(44,IFERROR(MATCH(F62,'Earth curves'!$A$2:$A$46,1),1))))+(F62-INDEX('Earth curves'!$A$2:$A$46,MAX(1,MIN(44,IFERROR(MATCH(F62,'Earth curves'!$A$2:$A$46,1),1)))))*(INDEX('Earth curves'!$C$2:$C$46,MAX(1,MIN(44,IFERROR(MATCH(F62,'Earth curves'!$A$2:$A$46,1),1)))+1)-INDEX('Earth curves'!$C$2:$C$46,MAX(1,MIN(44,IFERROR(MATCH(F62,'Earth curves'!$A$2:$A$46,1),1)))))/(INDEX('Earth curves'!$A$2:$A$46,MAX(1,MIN(44,IFERROR(MATCH(F62,'Earth curves'!$A$2:$A$46,1),1)))+1)-INDEX('Earth curves'!$A$2:$A$46,MAX(1,MIN(44,IFERROR(MATCH(F62,'Earth curves'!$A$2:$A$46,1),1))))))</f>
        <v/>
      </c>
      <c r="S62" s="6">
        <f>MEDIAN(0.307692,Q62+MEDIAN(-0.350583,O62+NORMSINV(H62)*0.064828*Config!$B$3,0.120277),0.993846)</f>
        <v/>
      </c>
      <c r="T62" s="10">
        <f>ROUND(Config!$B$7+(Config!$B$8-Config!$B$7)*S62,1)</f>
        <v/>
      </c>
      <c r="U62" s="11" t="n"/>
      <c r="V62" s="10">
        <f>IF(U62="",T62,U62)</f>
        <v/>
      </c>
      <c r="W62" s="6">
        <f>MEDIAN(0.05,R62+MEDIAN(-0.302219,P62+NORMSINV(I62)*0.089531*Config!$B$3,0.274961),0.999)</f>
        <v/>
      </c>
      <c r="X62" s="6">
        <f>(INDEX('Earth curves'!$F$2:$F$46,MAX(1,MIN(44,IFERROR(MATCH(W62,'Earth curves'!$E$2:$E$46,1),1))))+(W62-INDEX('Earth curves'!$E$2:$E$46,MAX(1,MIN(44,IFERROR(MATCH(W62,'Earth curves'!$E$2:$E$46,1),1)))))*(INDEX('Earth curves'!$F$2:$F$46,MAX(1,MIN(44,IFERROR(MATCH(W62,'Earth curves'!$E$2:$E$46,1),1)))+1)-INDEX('Earth curves'!$F$2:$F$46,MAX(1,MIN(44,IFERROR(MATCH(W62,'Earth curves'!$E$2:$E$46,1),1)))))/(INDEX('Earth curves'!$E$2:$E$46,MAX(1,MIN(44,IFERROR(MATCH(W62,'Earth curves'!$E$2:$E$46,1),1)))+1)-INDEX('Earth curves'!$E$2:$E$46,MAX(1,MIN(44,IFERROR(MATCH(W62,'Earth curves'!$E$2:$E$46,1),1))))))</f>
        <v/>
      </c>
      <c r="Y62" s="6">
        <f>(INDEX('Earth curves'!$G$2:$G$46,MAX(1,MIN(44,IFERROR(MATCH(W62,'Earth curves'!$E$2:$E$46,1),1))))+(W62-INDEX('Earth curves'!$E$2:$E$46,MAX(1,MIN(44,IFERROR(MATCH(W62,'Earth curves'!$E$2:$E$46,1),1)))))*(INDEX('Earth curves'!$G$2:$G$46,MAX(1,MIN(44,IFERROR(MATCH(W62,'Earth curves'!$E$2:$E$46,1),1)))+1)-INDEX('Earth curves'!$G$2:$G$46,MAX(1,MIN(44,IFERROR(MATCH(W62,'Earth curves'!$E$2:$E$46,1),1)))))/(INDEX('Earth curves'!$E$2:$E$46,MAX(1,MIN(44,IFERROR(MATCH(W62,'Earth curves'!$E$2:$E$46,1),1)))+1)-INDEX('Earth curves'!$E$2:$E$46,MAX(1,MIN(44,IFERROR(MATCH(W62,'Earth curves'!$E$2:$E$46,1),1))))))</f>
        <v/>
      </c>
      <c r="Z62" s="6">
        <f>(MIN(X62/Config!$B$9,1)+MIN(Y62/Config!$B$10,1))/2</f>
        <v/>
      </c>
      <c r="AA62" s="10">
        <f>ROUND(MIN(22,MAX(3,X62*W62/Z62)),1)</f>
        <v/>
      </c>
      <c r="AB62" s="11" t="n"/>
      <c r="AC62" s="10">
        <f>IF(AB62="",AA62,AB62)</f>
        <v/>
      </c>
      <c r="AD62" s="10">
        <f>ROUND(MIN(Config!$B$10,MAX(1,Y62*W62/Z62)),1)</f>
        <v/>
      </c>
      <c r="AE62" s="11" t="n"/>
      <c r="AF62" s="10">
        <f>IF(AE62="",AD62,AE62)</f>
        <v/>
      </c>
      <c r="AG62" s="9">
        <f>(V62-Config!$B$7)/(Config!$B$8-Config!$B$7)</f>
        <v/>
      </c>
      <c r="AH62" s="9">
        <f>(MIN(AC62/Config!$B$9,1)+MIN(AF62/Config!$B$10,1))/2</f>
        <v/>
      </c>
      <c r="AI62" s="12">
        <f>ROUND((AG62*AH62*G62)^(1/3),3)</f>
        <v/>
      </c>
      <c r="AJ62" s="12" t="n">
        <v>0.664</v>
      </c>
      <c r="AK62" s="13">
        <f>AI62-AJ62</f>
        <v/>
      </c>
      <c r="AL62" s="13">
        <f>AK62-AVERAGE($AK$2:$AK$173)</f>
        <v/>
      </c>
      <c r="AM62" s="6">
        <f>IF(ABS(AL62)&gt;Config!$B$11,"REVIEW","")</f>
        <v/>
      </c>
      <c r="AN62" s="14">
        <f>RANK(AI62,$AI$2:$AI$173)</f>
        <v/>
      </c>
      <c r="AO62" s="14">
        <f>RANK(AJ62,$AJ$2:$AJ$173)</f>
        <v/>
      </c>
      <c r="AP62" s="14" t="n">
        <v>62</v>
      </c>
    </row>
    <row r="63">
      <c r="A63" s="6" t="inlineStr">
        <is>
          <t>Ilicuhe</t>
        </is>
      </c>
      <c r="B63" s="6" t="inlineStr">
        <is>
          <t>Ayuma</t>
        </is>
      </c>
      <c r="C63" s="6" t="inlineStr">
        <is>
          <t>resource, university</t>
        </is>
      </c>
      <c r="D63" s="7" t="n">
        <v>235873</v>
      </c>
      <c r="E63" s="8">
        <f>D63*Config!$B$4</f>
        <v/>
      </c>
      <c r="F63" s="6">
        <f>LN(MAX(60,E63))</f>
        <v/>
      </c>
      <c r="G63" s="9">
        <f>MEDIAN(0,(F63-LN(Config!$B$5))/(LN(Config!$B$6)-LN(Config!$B$5)),1)</f>
        <v/>
      </c>
      <c r="H63" s="6">
        <f>MOD((Config!$B$2+$AP63*7919)*9301+49297,233280)/233280</f>
        <v/>
      </c>
      <c r="I63" s="6">
        <f>MOD((Config!$B$2+$AP63*104729)*4096+150889,714025)/714025</f>
        <v/>
      </c>
      <c r="J63" s="6">
        <f>MOD((Config!$B$2*31+$AP63*15485863)*1366+150889,714025)/714025</f>
        <v/>
      </c>
      <c r="K63" s="6" t="n"/>
      <c r="L63" s="6" t="n"/>
      <c r="M63" s="6">
        <f>COUNTIF(Siblings!$A$2:$A$84,B63)</f>
        <v/>
      </c>
      <c r="N63" s="6">
        <f>1+INT(J63*M63)</f>
        <v/>
      </c>
      <c r="O63" s="6">
        <f>IF(K63&lt;&gt;"",K63,IFERROR(INDEX(Siblings!$D$2:$D$84,MATCH(B63&amp;"|"&amp;N63,Siblings!$F$2:$F$84,0)),0))</f>
        <v/>
      </c>
      <c r="P63" s="6">
        <f>IF(L63&lt;&gt;"",L63,IFERROR(INDEX(Siblings!$E$2:$E$84,MATCH(B63&amp;"|"&amp;N63,Siblings!$F$2:$F$84,0)),0))</f>
        <v/>
      </c>
      <c r="Q63" s="6">
        <f>(INDEX('Earth curves'!$B$2:$B$46,MAX(1,MIN(44,IFERROR(MATCH(F63,'Earth curves'!$A$2:$A$46,1),1))))+(F63-INDEX('Earth curves'!$A$2:$A$46,MAX(1,MIN(44,IFERROR(MATCH(F63,'Earth curves'!$A$2:$A$46,1),1)))))*(INDEX('Earth curves'!$B$2:$B$46,MAX(1,MIN(44,IFERROR(MATCH(F63,'Earth curves'!$A$2:$A$46,1),1)))+1)-INDEX('Earth curves'!$B$2:$B$46,MAX(1,MIN(44,IFERROR(MATCH(F63,'Earth curves'!$A$2:$A$46,1),1)))))/(INDEX('Earth curves'!$A$2:$A$46,MAX(1,MIN(44,IFERROR(MATCH(F63,'Earth curves'!$A$2:$A$46,1),1)))+1)-INDEX('Earth curves'!$A$2:$A$46,MAX(1,MIN(44,IFERROR(MATCH(F63,'Earth curves'!$A$2:$A$46,1),1))))))</f>
        <v/>
      </c>
      <c r="R63" s="6">
        <f>(INDEX('Earth curves'!$C$2:$C$46,MAX(1,MIN(44,IFERROR(MATCH(F63,'Earth curves'!$A$2:$A$46,1),1))))+(F63-INDEX('Earth curves'!$A$2:$A$46,MAX(1,MIN(44,IFERROR(MATCH(F63,'Earth curves'!$A$2:$A$46,1),1)))))*(INDEX('Earth curves'!$C$2:$C$46,MAX(1,MIN(44,IFERROR(MATCH(F63,'Earth curves'!$A$2:$A$46,1),1)))+1)-INDEX('Earth curves'!$C$2:$C$46,MAX(1,MIN(44,IFERROR(MATCH(F63,'Earth curves'!$A$2:$A$46,1),1)))))/(INDEX('Earth curves'!$A$2:$A$46,MAX(1,MIN(44,IFERROR(MATCH(F63,'Earth curves'!$A$2:$A$46,1),1)))+1)-INDEX('Earth curves'!$A$2:$A$46,MAX(1,MIN(44,IFERROR(MATCH(F63,'Earth curves'!$A$2:$A$46,1),1))))))</f>
        <v/>
      </c>
      <c r="S63" s="6">
        <f>MEDIAN(0.307692,Q63+MEDIAN(-0.350583,O63+NORMSINV(H63)*0.064828*Config!$B$3,0.120277),0.993846)</f>
        <v/>
      </c>
      <c r="T63" s="10">
        <f>ROUND(Config!$B$7+(Config!$B$8-Config!$B$7)*S63,1)</f>
        <v/>
      </c>
      <c r="U63" s="11" t="n"/>
      <c r="V63" s="10">
        <f>IF(U63="",T63,U63)</f>
        <v/>
      </c>
      <c r="W63" s="6">
        <f>MEDIAN(0.05,R63+MEDIAN(-0.302219,P63+NORMSINV(I63)*0.089531*Config!$B$3,0.274961),0.999)</f>
        <v/>
      </c>
      <c r="X63" s="6">
        <f>(INDEX('Earth curves'!$F$2:$F$46,MAX(1,MIN(44,IFERROR(MATCH(W63,'Earth curves'!$E$2:$E$46,1),1))))+(W63-INDEX('Earth curves'!$E$2:$E$46,MAX(1,MIN(44,IFERROR(MATCH(W63,'Earth curves'!$E$2:$E$46,1),1)))))*(INDEX('Earth curves'!$F$2:$F$46,MAX(1,MIN(44,IFERROR(MATCH(W63,'Earth curves'!$E$2:$E$46,1),1)))+1)-INDEX('Earth curves'!$F$2:$F$46,MAX(1,MIN(44,IFERROR(MATCH(W63,'Earth curves'!$E$2:$E$46,1),1)))))/(INDEX('Earth curves'!$E$2:$E$46,MAX(1,MIN(44,IFERROR(MATCH(W63,'Earth curves'!$E$2:$E$46,1),1)))+1)-INDEX('Earth curves'!$E$2:$E$46,MAX(1,MIN(44,IFERROR(MATCH(W63,'Earth curves'!$E$2:$E$46,1),1))))))</f>
        <v/>
      </c>
      <c r="Y63" s="6">
        <f>(INDEX('Earth curves'!$G$2:$G$46,MAX(1,MIN(44,IFERROR(MATCH(W63,'Earth curves'!$E$2:$E$46,1),1))))+(W63-INDEX('Earth curves'!$E$2:$E$46,MAX(1,MIN(44,IFERROR(MATCH(W63,'Earth curves'!$E$2:$E$46,1),1)))))*(INDEX('Earth curves'!$G$2:$G$46,MAX(1,MIN(44,IFERROR(MATCH(W63,'Earth curves'!$E$2:$E$46,1),1)))+1)-INDEX('Earth curves'!$G$2:$G$46,MAX(1,MIN(44,IFERROR(MATCH(W63,'Earth curves'!$E$2:$E$46,1),1)))))/(INDEX('Earth curves'!$E$2:$E$46,MAX(1,MIN(44,IFERROR(MATCH(W63,'Earth curves'!$E$2:$E$46,1),1)))+1)-INDEX('Earth curves'!$E$2:$E$46,MAX(1,MIN(44,IFERROR(MATCH(W63,'Earth curves'!$E$2:$E$46,1),1))))))</f>
        <v/>
      </c>
      <c r="Z63" s="6">
        <f>(MIN(X63/Config!$B$9,1)+MIN(Y63/Config!$B$10,1))/2</f>
        <v/>
      </c>
      <c r="AA63" s="10">
        <f>ROUND(MIN(22,MAX(3,X63*W63/Z63)),1)</f>
        <v/>
      </c>
      <c r="AB63" s="11" t="n"/>
      <c r="AC63" s="10">
        <f>IF(AB63="",AA63,AB63)</f>
        <v/>
      </c>
      <c r="AD63" s="10">
        <f>ROUND(MIN(Config!$B$10,MAX(1,Y63*W63/Z63)),1)</f>
        <v/>
      </c>
      <c r="AE63" s="11" t="n"/>
      <c r="AF63" s="10">
        <f>IF(AE63="",AD63,AE63)</f>
        <v/>
      </c>
      <c r="AG63" s="9">
        <f>(V63-Config!$B$7)/(Config!$B$8-Config!$B$7)</f>
        <v/>
      </c>
      <c r="AH63" s="9">
        <f>(MIN(AC63/Config!$B$9,1)+MIN(AF63/Config!$B$10,1))/2</f>
        <v/>
      </c>
      <c r="AI63" s="12">
        <f>ROUND((AG63*AH63*G63)^(1/3),3)</f>
        <v/>
      </c>
      <c r="AJ63" s="12" t="n">
        <v>0.958</v>
      </c>
      <c r="AK63" s="13">
        <f>AI63-AJ63</f>
        <v/>
      </c>
      <c r="AL63" s="13">
        <f>AK63-AVERAGE($AK$2:$AK$173)</f>
        <v/>
      </c>
      <c r="AM63" s="6">
        <f>IF(ABS(AL63)&gt;Config!$B$11,"REVIEW","")</f>
        <v/>
      </c>
      <c r="AN63" s="14">
        <f>RANK(AI63,$AI$2:$AI$173)</f>
        <v/>
      </c>
      <c r="AO63" s="14">
        <f>RANK(AJ63,$AJ$2:$AJ$173)</f>
        <v/>
      </c>
      <c r="AP63" s="14" t="n">
        <v>63</v>
      </c>
    </row>
    <row r="64">
      <c r="A64" s="6" t="inlineStr">
        <is>
          <t>Inania</t>
        </is>
      </c>
      <c r="B64" s="6" t="inlineStr">
        <is>
          <t>Mahea</t>
        </is>
      </c>
      <c r="C64" s="6" t="inlineStr">
        <is>
          <t>petro, resource</t>
        </is>
      </c>
      <c r="D64" s="7" t="n">
        <v>25079</v>
      </c>
      <c r="E64" s="8">
        <f>D64*Config!$B$4</f>
        <v/>
      </c>
      <c r="F64" s="6">
        <f>LN(MAX(60,E64))</f>
        <v/>
      </c>
      <c r="G64" s="9">
        <f>MEDIAN(0,(F64-LN(Config!$B$5))/(LN(Config!$B$6)-LN(Config!$B$5)),1)</f>
        <v/>
      </c>
      <c r="H64" s="6">
        <f>MOD((Config!$B$2+$AP64*7919)*9301+49297,233280)/233280</f>
        <v/>
      </c>
      <c r="I64" s="6">
        <f>MOD((Config!$B$2+$AP64*104729)*4096+150889,714025)/714025</f>
        <v/>
      </c>
      <c r="J64" s="6">
        <f>MOD((Config!$B$2*31+$AP64*15485863)*1366+150889,714025)/714025</f>
        <v/>
      </c>
      <c r="K64" s="6" t="n">
        <v>0.058315</v>
      </c>
      <c r="L64" s="6" t="n">
        <v>-0.087769</v>
      </c>
      <c r="M64" s="6">
        <f>COUNTIF(Siblings!$A$2:$A$84,B64)</f>
        <v/>
      </c>
      <c r="N64" s="6">
        <f>1+INT(J64*M64)</f>
        <v/>
      </c>
      <c r="O64" s="6">
        <f>IF(K64&lt;&gt;"",K64,IFERROR(INDEX(Siblings!$D$2:$D$84,MATCH(B64&amp;"|"&amp;N64,Siblings!$F$2:$F$84,0)),0))</f>
        <v/>
      </c>
      <c r="P64" s="6">
        <f>IF(L64&lt;&gt;"",L64,IFERROR(INDEX(Siblings!$E$2:$E$84,MATCH(B64&amp;"|"&amp;N64,Siblings!$F$2:$F$84,0)),0))</f>
        <v/>
      </c>
      <c r="Q64" s="6">
        <f>(INDEX('Earth curves'!$B$2:$B$46,MAX(1,MIN(44,IFERROR(MATCH(F64,'Earth curves'!$A$2:$A$46,1),1))))+(F64-INDEX('Earth curves'!$A$2:$A$46,MAX(1,MIN(44,IFERROR(MATCH(F64,'Earth curves'!$A$2:$A$46,1),1)))))*(INDEX('Earth curves'!$B$2:$B$46,MAX(1,MIN(44,IFERROR(MATCH(F64,'Earth curves'!$A$2:$A$46,1),1)))+1)-INDEX('Earth curves'!$B$2:$B$46,MAX(1,MIN(44,IFERROR(MATCH(F64,'Earth curves'!$A$2:$A$46,1),1)))))/(INDEX('Earth curves'!$A$2:$A$46,MAX(1,MIN(44,IFERROR(MATCH(F64,'Earth curves'!$A$2:$A$46,1),1)))+1)-INDEX('Earth curves'!$A$2:$A$46,MAX(1,MIN(44,IFERROR(MATCH(F64,'Earth curves'!$A$2:$A$46,1),1))))))</f>
        <v/>
      </c>
      <c r="R64" s="6">
        <f>(INDEX('Earth curves'!$C$2:$C$46,MAX(1,MIN(44,IFERROR(MATCH(F64,'Earth curves'!$A$2:$A$46,1),1))))+(F64-INDEX('Earth curves'!$A$2:$A$46,MAX(1,MIN(44,IFERROR(MATCH(F64,'Earth curves'!$A$2:$A$46,1),1)))))*(INDEX('Earth curves'!$C$2:$C$46,MAX(1,MIN(44,IFERROR(MATCH(F64,'Earth curves'!$A$2:$A$46,1),1)))+1)-INDEX('Earth curves'!$C$2:$C$46,MAX(1,MIN(44,IFERROR(MATCH(F64,'Earth curves'!$A$2:$A$46,1),1)))))/(INDEX('Earth curves'!$A$2:$A$46,MAX(1,MIN(44,IFERROR(MATCH(F64,'Earth curves'!$A$2:$A$46,1),1)))+1)-INDEX('Earth curves'!$A$2:$A$46,MAX(1,MIN(44,IFERROR(MATCH(F64,'Earth curves'!$A$2:$A$46,1),1))))))</f>
        <v/>
      </c>
      <c r="S64" s="6">
        <f>MEDIAN(0.307692,Q64+MEDIAN(-0.350583,O64+NORMSINV(H64)*0.064828*Config!$B$3,0.120277),0.993846)</f>
        <v/>
      </c>
      <c r="T64" s="10">
        <f>ROUND(Config!$B$7+(Config!$B$8-Config!$B$7)*S64,1)</f>
        <v/>
      </c>
      <c r="U64" s="11" t="n"/>
      <c r="V64" s="10">
        <f>IF(U64="",T64,U64)</f>
        <v/>
      </c>
      <c r="W64" s="6">
        <f>MEDIAN(0.05,R64+MEDIAN(-0.302219,P64+NORMSINV(I64)*0.089531*Config!$B$3,0.274961),0.999)</f>
        <v/>
      </c>
      <c r="X64" s="6">
        <f>(INDEX('Earth curves'!$F$2:$F$46,MAX(1,MIN(44,IFERROR(MATCH(W64,'Earth curves'!$E$2:$E$46,1),1))))+(W64-INDEX('Earth curves'!$E$2:$E$46,MAX(1,MIN(44,IFERROR(MATCH(W64,'Earth curves'!$E$2:$E$46,1),1)))))*(INDEX('Earth curves'!$F$2:$F$46,MAX(1,MIN(44,IFERROR(MATCH(W64,'Earth curves'!$E$2:$E$46,1),1)))+1)-INDEX('Earth curves'!$F$2:$F$46,MAX(1,MIN(44,IFERROR(MATCH(W64,'Earth curves'!$E$2:$E$46,1),1)))))/(INDEX('Earth curves'!$E$2:$E$46,MAX(1,MIN(44,IFERROR(MATCH(W64,'Earth curves'!$E$2:$E$46,1),1)))+1)-INDEX('Earth curves'!$E$2:$E$46,MAX(1,MIN(44,IFERROR(MATCH(W64,'Earth curves'!$E$2:$E$46,1),1))))))</f>
        <v/>
      </c>
      <c r="Y64" s="6">
        <f>(INDEX('Earth curves'!$G$2:$G$46,MAX(1,MIN(44,IFERROR(MATCH(W64,'Earth curves'!$E$2:$E$46,1),1))))+(W64-INDEX('Earth curves'!$E$2:$E$46,MAX(1,MIN(44,IFERROR(MATCH(W64,'Earth curves'!$E$2:$E$46,1),1)))))*(INDEX('Earth curves'!$G$2:$G$46,MAX(1,MIN(44,IFERROR(MATCH(W64,'Earth curves'!$E$2:$E$46,1),1)))+1)-INDEX('Earth curves'!$G$2:$G$46,MAX(1,MIN(44,IFERROR(MATCH(W64,'Earth curves'!$E$2:$E$46,1),1)))))/(INDEX('Earth curves'!$E$2:$E$46,MAX(1,MIN(44,IFERROR(MATCH(W64,'Earth curves'!$E$2:$E$46,1),1)))+1)-INDEX('Earth curves'!$E$2:$E$46,MAX(1,MIN(44,IFERROR(MATCH(W64,'Earth curves'!$E$2:$E$46,1),1))))))</f>
        <v/>
      </c>
      <c r="Z64" s="6">
        <f>(MIN(X64/Config!$B$9,1)+MIN(Y64/Config!$B$10,1))/2</f>
        <v/>
      </c>
      <c r="AA64" s="10">
        <f>ROUND(MIN(22,MAX(3,X64*W64/Z64)),1)</f>
        <v/>
      </c>
      <c r="AB64" s="11" t="n"/>
      <c r="AC64" s="10">
        <f>IF(AB64="",AA64,AB64)</f>
        <v/>
      </c>
      <c r="AD64" s="10">
        <f>ROUND(MIN(Config!$B$10,MAX(1,Y64*W64/Z64)),1)</f>
        <v/>
      </c>
      <c r="AE64" s="11" t="n"/>
      <c r="AF64" s="10">
        <f>IF(AE64="",AD64,AE64)</f>
        <v/>
      </c>
      <c r="AG64" s="9">
        <f>(V64-Config!$B$7)/(Config!$B$8-Config!$B$7)</f>
        <v/>
      </c>
      <c r="AH64" s="9">
        <f>(MIN(AC64/Config!$B$9,1)+MIN(AF64/Config!$B$10,1))/2</f>
        <v/>
      </c>
      <c r="AI64" s="12">
        <f>ROUND((AG64*AH64*G64)^(1/3),3)</f>
        <v/>
      </c>
      <c r="AJ64" s="12" t="n">
        <v>0.769</v>
      </c>
      <c r="AK64" s="13">
        <f>AI64-AJ64</f>
        <v/>
      </c>
      <c r="AL64" s="13">
        <f>AK64-AVERAGE($AK$2:$AK$173)</f>
        <v/>
      </c>
      <c r="AM64" s="6">
        <f>IF(ABS(AL64)&gt;Config!$B$11,"REVIEW","")</f>
        <v/>
      </c>
      <c r="AN64" s="14">
        <f>RANK(AI64,$AI$2:$AI$173)</f>
        <v/>
      </c>
      <c r="AO64" s="14">
        <f>RANK(AJ64,$AJ$2:$AJ$173)</f>
        <v/>
      </c>
      <c r="AP64" s="14" t="n">
        <v>64</v>
      </c>
    </row>
    <row r="65">
      <c r="A65" s="6" t="inlineStr">
        <is>
          <t>Inrea</t>
        </is>
      </c>
      <c r="B65" s="6" t="inlineStr">
        <is>
          <t>Mahea</t>
        </is>
      </c>
      <c r="C65" s="6" t="inlineStr">
        <is>
          <t>—</t>
        </is>
      </c>
      <c r="D65" s="7" t="n">
        <v>104444</v>
      </c>
      <c r="E65" s="8">
        <f>D65*Config!$B$4</f>
        <v/>
      </c>
      <c r="F65" s="6">
        <f>LN(MAX(60,E65))</f>
        <v/>
      </c>
      <c r="G65" s="9">
        <f>MEDIAN(0,(F65-LN(Config!$B$5))/(LN(Config!$B$6)-LN(Config!$B$5)),1)</f>
        <v/>
      </c>
      <c r="H65" s="6">
        <f>MOD((Config!$B$2+$AP65*7919)*9301+49297,233280)/233280</f>
        <v/>
      </c>
      <c r="I65" s="6">
        <f>MOD((Config!$B$2+$AP65*104729)*4096+150889,714025)/714025</f>
        <v/>
      </c>
      <c r="J65" s="6">
        <f>MOD((Config!$B$2*31+$AP65*15485863)*1366+150889,714025)/714025</f>
        <v/>
      </c>
      <c r="K65" s="6" t="n"/>
      <c r="L65" s="6" t="n"/>
      <c r="M65" s="6">
        <f>COUNTIF(Siblings!$A$2:$A$84,B65)</f>
        <v/>
      </c>
      <c r="N65" s="6">
        <f>1+INT(J65*M65)</f>
        <v/>
      </c>
      <c r="O65" s="6">
        <f>IF(K65&lt;&gt;"",K65,IFERROR(INDEX(Siblings!$D$2:$D$84,MATCH(B65&amp;"|"&amp;N65,Siblings!$F$2:$F$84,0)),0))</f>
        <v/>
      </c>
      <c r="P65" s="6">
        <f>IF(L65&lt;&gt;"",L65,IFERROR(INDEX(Siblings!$E$2:$E$84,MATCH(B65&amp;"|"&amp;N65,Siblings!$F$2:$F$84,0)),0))</f>
        <v/>
      </c>
      <c r="Q65" s="6">
        <f>(INDEX('Earth curves'!$B$2:$B$46,MAX(1,MIN(44,IFERROR(MATCH(F65,'Earth curves'!$A$2:$A$46,1),1))))+(F65-INDEX('Earth curves'!$A$2:$A$46,MAX(1,MIN(44,IFERROR(MATCH(F65,'Earth curves'!$A$2:$A$46,1),1)))))*(INDEX('Earth curves'!$B$2:$B$46,MAX(1,MIN(44,IFERROR(MATCH(F65,'Earth curves'!$A$2:$A$46,1),1)))+1)-INDEX('Earth curves'!$B$2:$B$46,MAX(1,MIN(44,IFERROR(MATCH(F65,'Earth curves'!$A$2:$A$46,1),1)))))/(INDEX('Earth curves'!$A$2:$A$46,MAX(1,MIN(44,IFERROR(MATCH(F65,'Earth curves'!$A$2:$A$46,1),1)))+1)-INDEX('Earth curves'!$A$2:$A$46,MAX(1,MIN(44,IFERROR(MATCH(F65,'Earth curves'!$A$2:$A$46,1),1))))))</f>
        <v/>
      </c>
      <c r="R65" s="6">
        <f>(INDEX('Earth curves'!$C$2:$C$46,MAX(1,MIN(44,IFERROR(MATCH(F65,'Earth curves'!$A$2:$A$46,1),1))))+(F65-INDEX('Earth curves'!$A$2:$A$46,MAX(1,MIN(44,IFERROR(MATCH(F65,'Earth curves'!$A$2:$A$46,1),1)))))*(INDEX('Earth curves'!$C$2:$C$46,MAX(1,MIN(44,IFERROR(MATCH(F65,'Earth curves'!$A$2:$A$46,1),1)))+1)-INDEX('Earth curves'!$C$2:$C$46,MAX(1,MIN(44,IFERROR(MATCH(F65,'Earth curves'!$A$2:$A$46,1),1)))))/(INDEX('Earth curves'!$A$2:$A$46,MAX(1,MIN(44,IFERROR(MATCH(F65,'Earth curves'!$A$2:$A$46,1),1)))+1)-INDEX('Earth curves'!$A$2:$A$46,MAX(1,MIN(44,IFERROR(MATCH(F65,'Earth curves'!$A$2:$A$46,1),1))))))</f>
        <v/>
      </c>
      <c r="S65" s="6">
        <f>MEDIAN(0.307692,Q65+MEDIAN(-0.350583,O65+NORMSINV(H65)*0.064828*Config!$B$3,0.120277),0.993846)</f>
        <v/>
      </c>
      <c r="T65" s="10">
        <f>ROUND(Config!$B$7+(Config!$B$8-Config!$B$7)*S65,1)</f>
        <v/>
      </c>
      <c r="U65" s="11" t="n"/>
      <c r="V65" s="10">
        <f>IF(U65="",T65,U65)</f>
        <v/>
      </c>
      <c r="W65" s="6">
        <f>MEDIAN(0.05,R65+MEDIAN(-0.302219,P65+NORMSINV(I65)*0.089531*Config!$B$3,0.274961),0.999)</f>
        <v/>
      </c>
      <c r="X65" s="6">
        <f>(INDEX('Earth curves'!$F$2:$F$46,MAX(1,MIN(44,IFERROR(MATCH(W65,'Earth curves'!$E$2:$E$46,1),1))))+(W65-INDEX('Earth curves'!$E$2:$E$46,MAX(1,MIN(44,IFERROR(MATCH(W65,'Earth curves'!$E$2:$E$46,1),1)))))*(INDEX('Earth curves'!$F$2:$F$46,MAX(1,MIN(44,IFERROR(MATCH(W65,'Earth curves'!$E$2:$E$46,1),1)))+1)-INDEX('Earth curves'!$F$2:$F$46,MAX(1,MIN(44,IFERROR(MATCH(W65,'Earth curves'!$E$2:$E$46,1),1)))))/(INDEX('Earth curves'!$E$2:$E$46,MAX(1,MIN(44,IFERROR(MATCH(W65,'Earth curves'!$E$2:$E$46,1),1)))+1)-INDEX('Earth curves'!$E$2:$E$46,MAX(1,MIN(44,IFERROR(MATCH(W65,'Earth curves'!$E$2:$E$46,1),1))))))</f>
        <v/>
      </c>
      <c r="Y65" s="6">
        <f>(INDEX('Earth curves'!$G$2:$G$46,MAX(1,MIN(44,IFERROR(MATCH(W65,'Earth curves'!$E$2:$E$46,1),1))))+(W65-INDEX('Earth curves'!$E$2:$E$46,MAX(1,MIN(44,IFERROR(MATCH(W65,'Earth curves'!$E$2:$E$46,1),1)))))*(INDEX('Earth curves'!$G$2:$G$46,MAX(1,MIN(44,IFERROR(MATCH(W65,'Earth curves'!$E$2:$E$46,1),1)))+1)-INDEX('Earth curves'!$G$2:$G$46,MAX(1,MIN(44,IFERROR(MATCH(W65,'Earth curves'!$E$2:$E$46,1),1)))))/(INDEX('Earth curves'!$E$2:$E$46,MAX(1,MIN(44,IFERROR(MATCH(W65,'Earth curves'!$E$2:$E$46,1),1)))+1)-INDEX('Earth curves'!$E$2:$E$46,MAX(1,MIN(44,IFERROR(MATCH(W65,'Earth curves'!$E$2:$E$46,1),1))))))</f>
        <v/>
      </c>
      <c r="Z65" s="6">
        <f>(MIN(X65/Config!$B$9,1)+MIN(Y65/Config!$B$10,1))/2</f>
        <v/>
      </c>
      <c r="AA65" s="10">
        <f>ROUND(MIN(22,MAX(3,X65*W65/Z65)),1)</f>
        <v/>
      </c>
      <c r="AB65" s="11" t="n"/>
      <c r="AC65" s="10">
        <f>IF(AB65="",AA65,AB65)</f>
        <v/>
      </c>
      <c r="AD65" s="10">
        <f>ROUND(MIN(Config!$B$10,MAX(1,Y65*W65/Z65)),1)</f>
        <v/>
      </c>
      <c r="AE65" s="11" t="n"/>
      <c r="AF65" s="10">
        <f>IF(AE65="",AD65,AE65)</f>
        <v/>
      </c>
      <c r="AG65" s="9">
        <f>(V65-Config!$B$7)/(Config!$B$8-Config!$B$7)</f>
        <v/>
      </c>
      <c r="AH65" s="9">
        <f>(MIN(AC65/Config!$B$9,1)+MIN(AF65/Config!$B$10,1))/2</f>
        <v/>
      </c>
      <c r="AI65" s="12">
        <f>ROUND((AG65*AH65*G65)^(1/3),3)</f>
        <v/>
      </c>
      <c r="AJ65" s="12" t="n">
        <v>0.841</v>
      </c>
      <c r="AK65" s="13">
        <f>AI65-AJ65</f>
        <v/>
      </c>
      <c r="AL65" s="13">
        <f>AK65-AVERAGE($AK$2:$AK$173)</f>
        <v/>
      </c>
      <c r="AM65" s="6">
        <f>IF(ABS(AL65)&gt;Config!$B$11,"REVIEW","")</f>
        <v/>
      </c>
      <c r="AN65" s="14">
        <f>RANK(AI65,$AI$2:$AI$173)</f>
        <v/>
      </c>
      <c r="AO65" s="14">
        <f>RANK(AJ65,$AJ$2:$AJ$173)</f>
        <v/>
      </c>
      <c r="AP65" s="14" t="n">
        <v>65</v>
      </c>
    </row>
    <row r="66">
      <c r="A66" s="6" t="inlineStr">
        <is>
          <t>Iquir</t>
        </is>
      </c>
      <c r="B66" s="6" t="inlineStr">
        <is>
          <t>Acrola</t>
        </is>
      </c>
      <c r="C66" s="6" t="inlineStr">
        <is>
          <t>resource</t>
        </is>
      </c>
      <c r="D66" s="7" t="n">
        <v>8889</v>
      </c>
      <c r="E66" s="8">
        <f>D66*Config!$B$4</f>
        <v/>
      </c>
      <c r="F66" s="6">
        <f>LN(MAX(60,E66))</f>
        <v/>
      </c>
      <c r="G66" s="9">
        <f>MEDIAN(0,(F66-LN(Config!$B$5))/(LN(Config!$B$6)-LN(Config!$B$5)),1)</f>
        <v/>
      </c>
      <c r="H66" s="6">
        <f>MOD((Config!$B$2+$AP66*7919)*9301+49297,233280)/233280</f>
        <v/>
      </c>
      <c r="I66" s="6">
        <f>MOD((Config!$B$2+$AP66*104729)*4096+150889,714025)/714025</f>
        <v/>
      </c>
      <c r="J66" s="6">
        <f>MOD((Config!$B$2*31+$AP66*15485863)*1366+150889,714025)/714025</f>
        <v/>
      </c>
      <c r="K66" s="6" t="n">
        <v>0.058315</v>
      </c>
      <c r="L66" s="6" t="n">
        <v>-0.087769</v>
      </c>
      <c r="M66" s="6">
        <f>COUNTIF(Siblings!$A$2:$A$84,B66)</f>
        <v/>
      </c>
      <c r="N66" s="6">
        <f>1+INT(J66*M66)</f>
        <v/>
      </c>
      <c r="O66" s="6">
        <f>IF(K66&lt;&gt;"",K66,IFERROR(INDEX(Siblings!$D$2:$D$84,MATCH(B66&amp;"|"&amp;N66,Siblings!$F$2:$F$84,0)),0))</f>
        <v/>
      </c>
      <c r="P66" s="6">
        <f>IF(L66&lt;&gt;"",L66,IFERROR(INDEX(Siblings!$E$2:$E$84,MATCH(B66&amp;"|"&amp;N66,Siblings!$F$2:$F$84,0)),0))</f>
        <v/>
      </c>
      <c r="Q66" s="6">
        <f>(INDEX('Earth curves'!$B$2:$B$46,MAX(1,MIN(44,IFERROR(MATCH(F66,'Earth curves'!$A$2:$A$46,1),1))))+(F66-INDEX('Earth curves'!$A$2:$A$46,MAX(1,MIN(44,IFERROR(MATCH(F66,'Earth curves'!$A$2:$A$46,1),1)))))*(INDEX('Earth curves'!$B$2:$B$46,MAX(1,MIN(44,IFERROR(MATCH(F66,'Earth curves'!$A$2:$A$46,1),1)))+1)-INDEX('Earth curves'!$B$2:$B$46,MAX(1,MIN(44,IFERROR(MATCH(F66,'Earth curves'!$A$2:$A$46,1),1)))))/(INDEX('Earth curves'!$A$2:$A$46,MAX(1,MIN(44,IFERROR(MATCH(F66,'Earth curves'!$A$2:$A$46,1),1)))+1)-INDEX('Earth curves'!$A$2:$A$46,MAX(1,MIN(44,IFERROR(MATCH(F66,'Earth curves'!$A$2:$A$46,1),1))))))</f>
        <v/>
      </c>
      <c r="R66" s="6">
        <f>(INDEX('Earth curves'!$C$2:$C$46,MAX(1,MIN(44,IFERROR(MATCH(F66,'Earth curves'!$A$2:$A$46,1),1))))+(F66-INDEX('Earth curves'!$A$2:$A$46,MAX(1,MIN(44,IFERROR(MATCH(F66,'Earth curves'!$A$2:$A$46,1),1)))))*(INDEX('Earth curves'!$C$2:$C$46,MAX(1,MIN(44,IFERROR(MATCH(F66,'Earth curves'!$A$2:$A$46,1),1)))+1)-INDEX('Earth curves'!$C$2:$C$46,MAX(1,MIN(44,IFERROR(MATCH(F66,'Earth curves'!$A$2:$A$46,1),1)))))/(INDEX('Earth curves'!$A$2:$A$46,MAX(1,MIN(44,IFERROR(MATCH(F66,'Earth curves'!$A$2:$A$46,1),1)))+1)-INDEX('Earth curves'!$A$2:$A$46,MAX(1,MIN(44,IFERROR(MATCH(F66,'Earth curves'!$A$2:$A$46,1),1))))))</f>
        <v/>
      </c>
      <c r="S66" s="6">
        <f>MEDIAN(0.307692,Q66+MEDIAN(-0.350583,O66+NORMSINV(H66)*0.064828*Config!$B$3,0.120277),0.993846)</f>
        <v/>
      </c>
      <c r="T66" s="10">
        <f>ROUND(Config!$B$7+(Config!$B$8-Config!$B$7)*S66,1)</f>
        <v/>
      </c>
      <c r="U66" s="11" t="n"/>
      <c r="V66" s="10">
        <f>IF(U66="",T66,U66)</f>
        <v/>
      </c>
      <c r="W66" s="6">
        <f>MEDIAN(0.05,R66+MEDIAN(-0.302219,P66+NORMSINV(I66)*0.089531*Config!$B$3,0.274961),0.999)</f>
        <v/>
      </c>
      <c r="X66" s="6">
        <f>(INDEX('Earth curves'!$F$2:$F$46,MAX(1,MIN(44,IFERROR(MATCH(W66,'Earth curves'!$E$2:$E$46,1),1))))+(W66-INDEX('Earth curves'!$E$2:$E$46,MAX(1,MIN(44,IFERROR(MATCH(W66,'Earth curves'!$E$2:$E$46,1),1)))))*(INDEX('Earth curves'!$F$2:$F$46,MAX(1,MIN(44,IFERROR(MATCH(W66,'Earth curves'!$E$2:$E$46,1),1)))+1)-INDEX('Earth curves'!$F$2:$F$46,MAX(1,MIN(44,IFERROR(MATCH(W66,'Earth curves'!$E$2:$E$46,1),1)))))/(INDEX('Earth curves'!$E$2:$E$46,MAX(1,MIN(44,IFERROR(MATCH(W66,'Earth curves'!$E$2:$E$46,1),1)))+1)-INDEX('Earth curves'!$E$2:$E$46,MAX(1,MIN(44,IFERROR(MATCH(W66,'Earth curves'!$E$2:$E$46,1),1))))))</f>
        <v/>
      </c>
      <c r="Y66" s="6">
        <f>(INDEX('Earth curves'!$G$2:$G$46,MAX(1,MIN(44,IFERROR(MATCH(W66,'Earth curves'!$E$2:$E$46,1),1))))+(W66-INDEX('Earth curves'!$E$2:$E$46,MAX(1,MIN(44,IFERROR(MATCH(W66,'Earth curves'!$E$2:$E$46,1),1)))))*(INDEX('Earth curves'!$G$2:$G$46,MAX(1,MIN(44,IFERROR(MATCH(W66,'Earth curves'!$E$2:$E$46,1),1)))+1)-INDEX('Earth curves'!$G$2:$G$46,MAX(1,MIN(44,IFERROR(MATCH(W66,'Earth curves'!$E$2:$E$46,1),1)))))/(INDEX('Earth curves'!$E$2:$E$46,MAX(1,MIN(44,IFERROR(MATCH(W66,'Earth curves'!$E$2:$E$46,1),1)))+1)-INDEX('Earth curves'!$E$2:$E$46,MAX(1,MIN(44,IFERROR(MATCH(W66,'Earth curves'!$E$2:$E$46,1),1))))))</f>
        <v/>
      </c>
      <c r="Z66" s="6">
        <f>(MIN(X66/Config!$B$9,1)+MIN(Y66/Config!$B$10,1))/2</f>
        <v/>
      </c>
      <c r="AA66" s="10">
        <f>ROUND(MIN(22,MAX(3,X66*W66/Z66)),1)</f>
        <v/>
      </c>
      <c r="AB66" s="11" t="n"/>
      <c r="AC66" s="10">
        <f>IF(AB66="",AA66,AB66)</f>
        <v/>
      </c>
      <c r="AD66" s="10">
        <f>ROUND(MIN(Config!$B$10,MAX(1,Y66*W66/Z66)),1)</f>
        <v/>
      </c>
      <c r="AE66" s="11" t="n"/>
      <c r="AF66" s="10">
        <f>IF(AE66="",AD66,AE66)</f>
        <v/>
      </c>
      <c r="AG66" s="9">
        <f>(V66-Config!$B$7)/(Config!$B$8-Config!$B$7)</f>
        <v/>
      </c>
      <c r="AH66" s="9">
        <f>(MIN(AC66/Config!$B$9,1)+MIN(AF66/Config!$B$10,1))/2</f>
        <v/>
      </c>
      <c r="AI66" s="12">
        <f>ROUND((AG66*AH66*G66)^(1/3),3)</f>
        <v/>
      </c>
      <c r="AJ66" s="12" t="n">
        <v>0.5600000000000001</v>
      </c>
      <c r="AK66" s="13">
        <f>AI66-AJ66</f>
        <v/>
      </c>
      <c r="AL66" s="13">
        <f>AK66-AVERAGE($AK$2:$AK$173)</f>
        <v/>
      </c>
      <c r="AM66" s="6">
        <f>IF(ABS(AL66)&gt;Config!$B$11,"REVIEW","")</f>
        <v/>
      </c>
      <c r="AN66" s="14">
        <f>RANK(AI66,$AI$2:$AI$173)</f>
        <v/>
      </c>
      <c r="AO66" s="14">
        <f>RANK(AJ66,$AJ$2:$AJ$173)</f>
        <v/>
      </c>
      <c r="AP66" s="14" t="n">
        <v>66</v>
      </c>
    </row>
    <row r="67">
      <c r="A67" s="6" t="inlineStr">
        <is>
          <t>Isari</t>
        </is>
      </c>
      <c r="B67" s="6" t="inlineStr">
        <is>
          <t>New Ayre</t>
        </is>
      </c>
      <c r="C67" s="6" t="inlineStr">
        <is>
          <t>—</t>
        </is>
      </c>
      <c r="D67" s="7" t="n">
        <v>57778</v>
      </c>
      <c r="E67" s="8">
        <f>D67*Config!$B$4</f>
        <v/>
      </c>
      <c r="F67" s="6">
        <f>LN(MAX(60,E67))</f>
        <v/>
      </c>
      <c r="G67" s="9">
        <f>MEDIAN(0,(F67-LN(Config!$B$5))/(LN(Config!$B$6)-LN(Config!$B$5)),1)</f>
        <v/>
      </c>
      <c r="H67" s="6">
        <f>MOD((Config!$B$2+$AP67*7919)*9301+49297,233280)/233280</f>
        <v/>
      </c>
      <c r="I67" s="6">
        <f>MOD((Config!$B$2+$AP67*104729)*4096+150889,714025)/714025</f>
        <v/>
      </c>
      <c r="J67" s="6">
        <f>MOD((Config!$B$2*31+$AP67*15485863)*1366+150889,714025)/714025</f>
        <v/>
      </c>
      <c r="K67" s="6" t="n">
        <v>0.060531</v>
      </c>
      <c r="L67" s="6" t="n">
        <v>0.031221</v>
      </c>
      <c r="M67" s="6">
        <f>COUNTIF(Siblings!$A$2:$A$84,B67)</f>
        <v/>
      </c>
      <c r="N67" s="6">
        <f>1+INT(J67*M67)</f>
        <v/>
      </c>
      <c r="O67" s="6">
        <f>IF(K67&lt;&gt;"",K67,IFERROR(INDEX(Siblings!$D$2:$D$84,MATCH(B67&amp;"|"&amp;N67,Siblings!$F$2:$F$84,0)),0))</f>
        <v/>
      </c>
      <c r="P67" s="6">
        <f>IF(L67&lt;&gt;"",L67,IFERROR(INDEX(Siblings!$E$2:$E$84,MATCH(B67&amp;"|"&amp;N67,Siblings!$F$2:$F$84,0)),0))</f>
        <v/>
      </c>
      <c r="Q67" s="6">
        <f>(INDEX('Earth curves'!$B$2:$B$46,MAX(1,MIN(44,IFERROR(MATCH(F67,'Earth curves'!$A$2:$A$46,1),1))))+(F67-INDEX('Earth curves'!$A$2:$A$46,MAX(1,MIN(44,IFERROR(MATCH(F67,'Earth curves'!$A$2:$A$46,1),1)))))*(INDEX('Earth curves'!$B$2:$B$46,MAX(1,MIN(44,IFERROR(MATCH(F67,'Earth curves'!$A$2:$A$46,1),1)))+1)-INDEX('Earth curves'!$B$2:$B$46,MAX(1,MIN(44,IFERROR(MATCH(F67,'Earth curves'!$A$2:$A$46,1),1)))))/(INDEX('Earth curves'!$A$2:$A$46,MAX(1,MIN(44,IFERROR(MATCH(F67,'Earth curves'!$A$2:$A$46,1),1)))+1)-INDEX('Earth curves'!$A$2:$A$46,MAX(1,MIN(44,IFERROR(MATCH(F67,'Earth curves'!$A$2:$A$46,1),1))))))</f>
        <v/>
      </c>
      <c r="R67" s="6">
        <f>(INDEX('Earth curves'!$C$2:$C$46,MAX(1,MIN(44,IFERROR(MATCH(F67,'Earth curves'!$A$2:$A$46,1),1))))+(F67-INDEX('Earth curves'!$A$2:$A$46,MAX(1,MIN(44,IFERROR(MATCH(F67,'Earth curves'!$A$2:$A$46,1),1)))))*(INDEX('Earth curves'!$C$2:$C$46,MAX(1,MIN(44,IFERROR(MATCH(F67,'Earth curves'!$A$2:$A$46,1),1)))+1)-INDEX('Earth curves'!$C$2:$C$46,MAX(1,MIN(44,IFERROR(MATCH(F67,'Earth curves'!$A$2:$A$46,1),1)))))/(INDEX('Earth curves'!$A$2:$A$46,MAX(1,MIN(44,IFERROR(MATCH(F67,'Earth curves'!$A$2:$A$46,1),1)))+1)-INDEX('Earth curves'!$A$2:$A$46,MAX(1,MIN(44,IFERROR(MATCH(F67,'Earth curves'!$A$2:$A$46,1),1))))))</f>
        <v/>
      </c>
      <c r="S67" s="6">
        <f>MEDIAN(0.307692,Q67+MEDIAN(-0.350583,O67+NORMSINV(H67)*0.064828*Config!$B$3,0.120277),0.993846)</f>
        <v/>
      </c>
      <c r="T67" s="10">
        <f>ROUND(Config!$B$7+(Config!$B$8-Config!$B$7)*S67,1)</f>
        <v/>
      </c>
      <c r="U67" s="11" t="n"/>
      <c r="V67" s="10">
        <f>IF(U67="",T67,U67)</f>
        <v/>
      </c>
      <c r="W67" s="6">
        <f>MEDIAN(0.05,R67+MEDIAN(-0.302219,P67+NORMSINV(I67)*0.089531*Config!$B$3,0.274961),0.999)</f>
        <v/>
      </c>
      <c r="X67" s="6">
        <f>(INDEX('Earth curves'!$F$2:$F$46,MAX(1,MIN(44,IFERROR(MATCH(W67,'Earth curves'!$E$2:$E$46,1),1))))+(W67-INDEX('Earth curves'!$E$2:$E$46,MAX(1,MIN(44,IFERROR(MATCH(W67,'Earth curves'!$E$2:$E$46,1),1)))))*(INDEX('Earth curves'!$F$2:$F$46,MAX(1,MIN(44,IFERROR(MATCH(W67,'Earth curves'!$E$2:$E$46,1),1)))+1)-INDEX('Earth curves'!$F$2:$F$46,MAX(1,MIN(44,IFERROR(MATCH(W67,'Earth curves'!$E$2:$E$46,1),1)))))/(INDEX('Earth curves'!$E$2:$E$46,MAX(1,MIN(44,IFERROR(MATCH(W67,'Earth curves'!$E$2:$E$46,1),1)))+1)-INDEX('Earth curves'!$E$2:$E$46,MAX(1,MIN(44,IFERROR(MATCH(W67,'Earth curves'!$E$2:$E$46,1),1))))))</f>
        <v/>
      </c>
      <c r="Y67" s="6">
        <f>(INDEX('Earth curves'!$G$2:$G$46,MAX(1,MIN(44,IFERROR(MATCH(W67,'Earth curves'!$E$2:$E$46,1),1))))+(W67-INDEX('Earth curves'!$E$2:$E$46,MAX(1,MIN(44,IFERROR(MATCH(W67,'Earth curves'!$E$2:$E$46,1),1)))))*(INDEX('Earth curves'!$G$2:$G$46,MAX(1,MIN(44,IFERROR(MATCH(W67,'Earth curves'!$E$2:$E$46,1),1)))+1)-INDEX('Earth curves'!$G$2:$G$46,MAX(1,MIN(44,IFERROR(MATCH(W67,'Earth curves'!$E$2:$E$46,1),1)))))/(INDEX('Earth curves'!$E$2:$E$46,MAX(1,MIN(44,IFERROR(MATCH(W67,'Earth curves'!$E$2:$E$46,1),1)))+1)-INDEX('Earth curves'!$E$2:$E$46,MAX(1,MIN(44,IFERROR(MATCH(W67,'Earth curves'!$E$2:$E$46,1),1))))))</f>
        <v/>
      </c>
      <c r="Z67" s="6">
        <f>(MIN(X67/Config!$B$9,1)+MIN(Y67/Config!$B$10,1))/2</f>
        <v/>
      </c>
      <c r="AA67" s="10">
        <f>ROUND(MIN(22,MAX(3,X67*W67/Z67)),1)</f>
        <v/>
      </c>
      <c r="AB67" s="11" t="n"/>
      <c r="AC67" s="10">
        <f>IF(AB67="",AA67,AB67)</f>
        <v/>
      </c>
      <c r="AD67" s="10">
        <f>ROUND(MIN(Config!$B$10,MAX(1,Y67*W67/Z67)),1)</f>
        <v/>
      </c>
      <c r="AE67" s="11" t="n"/>
      <c r="AF67" s="10">
        <f>IF(AE67="",AD67,AE67)</f>
        <v/>
      </c>
      <c r="AG67" s="9">
        <f>(V67-Config!$B$7)/(Config!$B$8-Config!$B$7)</f>
        <v/>
      </c>
      <c r="AH67" s="9">
        <f>(MIN(AC67/Config!$B$9,1)+MIN(AF67/Config!$B$10,1))/2</f>
        <v/>
      </c>
      <c r="AI67" s="12">
        <f>ROUND((AG67*AH67*G67)^(1/3),3)</f>
        <v/>
      </c>
      <c r="AJ67" s="12" t="n">
        <v>0.8120000000000001</v>
      </c>
      <c r="AK67" s="13">
        <f>AI67-AJ67</f>
        <v/>
      </c>
      <c r="AL67" s="13">
        <f>AK67-AVERAGE($AK$2:$AK$173)</f>
        <v/>
      </c>
      <c r="AM67" s="6">
        <f>IF(ABS(AL67)&gt;Config!$B$11,"REVIEW","")</f>
        <v/>
      </c>
      <c r="AN67" s="14">
        <f>RANK(AI67,$AI$2:$AI$173)</f>
        <v/>
      </c>
      <c r="AO67" s="14">
        <f>RANK(AJ67,$AJ$2:$AJ$173)</f>
        <v/>
      </c>
      <c r="AP67" s="14" t="n">
        <v>67</v>
      </c>
    </row>
    <row r="68">
      <c r="A68" s="6" t="inlineStr">
        <is>
          <t>Isnti</t>
        </is>
      </c>
      <c r="B68" s="6" t="inlineStr">
        <is>
          <t>Mahea</t>
        </is>
      </c>
      <c r="C68" s="6" t="inlineStr">
        <is>
          <t>resource</t>
        </is>
      </c>
      <c r="D68" s="7" t="n">
        <v>11937</v>
      </c>
      <c r="E68" s="8">
        <f>D68*Config!$B$4</f>
        <v/>
      </c>
      <c r="F68" s="6">
        <f>LN(MAX(60,E68))</f>
        <v/>
      </c>
      <c r="G68" s="9">
        <f>MEDIAN(0,(F68-LN(Config!$B$5))/(LN(Config!$B$6)-LN(Config!$B$5)),1)</f>
        <v/>
      </c>
      <c r="H68" s="6">
        <f>MOD((Config!$B$2+$AP68*7919)*9301+49297,233280)/233280</f>
        <v/>
      </c>
      <c r="I68" s="6">
        <f>MOD((Config!$B$2+$AP68*104729)*4096+150889,714025)/714025</f>
        <v/>
      </c>
      <c r="J68" s="6">
        <f>MOD((Config!$B$2*31+$AP68*15485863)*1366+150889,714025)/714025</f>
        <v/>
      </c>
      <c r="K68" s="6" t="n">
        <v>0.020166</v>
      </c>
      <c r="L68" s="6" t="n">
        <v>-0.007089</v>
      </c>
      <c r="M68" s="6">
        <f>COUNTIF(Siblings!$A$2:$A$84,B68)</f>
        <v/>
      </c>
      <c r="N68" s="6">
        <f>1+INT(J68*M68)</f>
        <v/>
      </c>
      <c r="O68" s="6">
        <f>IF(K68&lt;&gt;"",K68,IFERROR(INDEX(Siblings!$D$2:$D$84,MATCH(B68&amp;"|"&amp;N68,Siblings!$F$2:$F$84,0)),0))</f>
        <v/>
      </c>
      <c r="P68" s="6">
        <f>IF(L68&lt;&gt;"",L68,IFERROR(INDEX(Siblings!$E$2:$E$84,MATCH(B68&amp;"|"&amp;N68,Siblings!$F$2:$F$84,0)),0))</f>
        <v/>
      </c>
      <c r="Q68" s="6">
        <f>(INDEX('Earth curves'!$B$2:$B$46,MAX(1,MIN(44,IFERROR(MATCH(F68,'Earth curves'!$A$2:$A$46,1),1))))+(F68-INDEX('Earth curves'!$A$2:$A$46,MAX(1,MIN(44,IFERROR(MATCH(F68,'Earth curves'!$A$2:$A$46,1),1)))))*(INDEX('Earth curves'!$B$2:$B$46,MAX(1,MIN(44,IFERROR(MATCH(F68,'Earth curves'!$A$2:$A$46,1),1)))+1)-INDEX('Earth curves'!$B$2:$B$46,MAX(1,MIN(44,IFERROR(MATCH(F68,'Earth curves'!$A$2:$A$46,1),1)))))/(INDEX('Earth curves'!$A$2:$A$46,MAX(1,MIN(44,IFERROR(MATCH(F68,'Earth curves'!$A$2:$A$46,1),1)))+1)-INDEX('Earth curves'!$A$2:$A$46,MAX(1,MIN(44,IFERROR(MATCH(F68,'Earth curves'!$A$2:$A$46,1),1))))))</f>
        <v/>
      </c>
      <c r="R68" s="6">
        <f>(INDEX('Earth curves'!$C$2:$C$46,MAX(1,MIN(44,IFERROR(MATCH(F68,'Earth curves'!$A$2:$A$46,1),1))))+(F68-INDEX('Earth curves'!$A$2:$A$46,MAX(1,MIN(44,IFERROR(MATCH(F68,'Earth curves'!$A$2:$A$46,1),1)))))*(INDEX('Earth curves'!$C$2:$C$46,MAX(1,MIN(44,IFERROR(MATCH(F68,'Earth curves'!$A$2:$A$46,1),1)))+1)-INDEX('Earth curves'!$C$2:$C$46,MAX(1,MIN(44,IFERROR(MATCH(F68,'Earth curves'!$A$2:$A$46,1),1)))))/(INDEX('Earth curves'!$A$2:$A$46,MAX(1,MIN(44,IFERROR(MATCH(F68,'Earth curves'!$A$2:$A$46,1),1)))+1)-INDEX('Earth curves'!$A$2:$A$46,MAX(1,MIN(44,IFERROR(MATCH(F68,'Earth curves'!$A$2:$A$46,1),1))))))</f>
        <v/>
      </c>
      <c r="S68" s="6">
        <f>MEDIAN(0.307692,Q68+MEDIAN(-0.350583,O68+NORMSINV(H68)*0.064828*Config!$B$3,0.120277),0.993846)</f>
        <v/>
      </c>
      <c r="T68" s="10">
        <f>ROUND(Config!$B$7+(Config!$B$8-Config!$B$7)*S68,1)</f>
        <v/>
      </c>
      <c r="U68" s="11" t="n"/>
      <c r="V68" s="10">
        <f>IF(U68="",T68,U68)</f>
        <v/>
      </c>
      <c r="W68" s="6">
        <f>MEDIAN(0.05,R68+MEDIAN(-0.302219,P68+NORMSINV(I68)*0.089531*Config!$B$3,0.274961),0.999)</f>
        <v/>
      </c>
      <c r="X68" s="6">
        <f>(INDEX('Earth curves'!$F$2:$F$46,MAX(1,MIN(44,IFERROR(MATCH(W68,'Earth curves'!$E$2:$E$46,1),1))))+(W68-INDEX('Earth curves'!$E$2:$E$46,MAX(1,MIN(44,IFERROR(MATCH(W68,'Earth curves'!$E$2:$E$46,1),1)))))*(INDEX('Earth curves'!$F$2:$F$46,MAX(1,MIN(44,IFERROR(MATCH(W68,'Earth curves'!$E$2:$E$46,1),1)))+1)-INDEX('Earth curves'!$F$2:$F$46,MAX(1,MIN(44,IFERROR(MATCH(W68,'Earth curves'!$E$2:$E$46,1),1)))))/(INDEX('Earth curves'!$E$2:$E$46,MAX(1,MIN(44,IFERROR(MATCH(W68,'Earth curves'!$E$2:$E$46,1),1)))+1)-INDEX('Earth curves'!$E$2:$E$46,MAX(1,MIN(44,IFERROR(MATCH(W68,'Earth curves'!$E$2:$E$46,1),1))))))</f>
        <v/>
      </c>
      <c r="Y68" s="6">
        <f>(INDEX('Earth curves'!$G$2:$G$46,MAX(1,MIN(44,IFERROR(MATCH(W68,'Earth curves'!$E$2:$E$46,1),1))))+(W68-INDEX('Earth curves'!$E$2:$E$46,MAX(1,MIN(44,IFERROR(MATCH(W68,'Earth curves'!$E$2:$E$46,1),1)))))*(INDEX('Earth curves'!$G$2:$G$46,MAX(1,MIN(44,IFERROR(MATCH(W68,'Earth curves'!$E$2:$E$46,1),1)))+1)-INDEX('Earth curves'!$G$2:$G$46,MAX(1,MIN(44,IFERROR(MATCH(W68,'Earth curves'!$E$2:$E$46,1),1)))))/(INDEX('Earth curves'!$E$2:$E$46,MAX(1,MIN(44,IFERROR(MATCH(W68,'Earth curves'!$E$2:$E$46,1),1)))+1)-INDEX('Earth curves'!$E$2:$E$46,MAX(1,MIN(44,IFERROR(MATCH(W68,'Earth curves'!$E$2:$E$46,1),1))))))</f>
        <v/>
      </c>
      <c r="Z68" s="6">
        <f>(MIN(X68/Config!$B$9,1)+MIN(Y68/Config!$B$10,1))/2</f>
        <v/>
      </c>
      <c r="AA68" s="10">
        <f>ROUND(MIN(22,MAX(3,X68*W68/Z68)),1)</f>
        <v/>
      </c>
      <c r="AB68" s="11" t="n"/>
      <c r="AC68" s="10">
        <f>IF(AB68="",AA68,AB68)</f>
        <v/>
      </c>
      <c r="AD68" s="10">
        <f>ROUND(MIN(Config!$B$10,MAX(1,Y68*W68/Z68)),1)</f>
        <v/>
      </c>
      <c r="AE68" s="11" t="n"/>
      <c r="AF68" s="10">
        <f>IF(AE68="",AD68,AE68)</f>
        <v/>
      </c>
      <c r="AG68" s="9">
        <f>(V68-Config!$B$7)/(Config!$B$8-Config!$B$7)</f>
        <v/>
      </c>
      <c r="AH68" s="9">
        <f>(MIN(AC68/Config!$B$9,1)+MIN(AF68/Config!$B$10,1))/2</f>
        <v/>
      </c>
      <c r="AI68" s="12">
        <f>ROUND((AG68*AH68*G68)^(1/3),3)</f>
        <v/>
      </c>
      <c r="AJ68" s="12" t="n">
        <v>0.717</v>
      </c>
      <c r="AK68" s="13">
        <f>AI68-AJ68</f>
        <v/>
      </c>
      <c r="AL68" s="13">
        <f>AK68-AVERAGE($AK$2:$AK$173)</f>
        <v/>
      </c>
      <c r="AM68" s="6">
        <f>IF(ABS(AL68)&gt;Config!$B$11,"REVIEW","")</f>
        <v/>
      </c>
      <c r="AN68" s="14">
        <f>RANK(AI68,$AI$2:$AI$173)</f>
        <v/>
      </c>
      <c r="AO68" s="14">
        <f>RANK(AJ68,$AJ$2:$AJ$173)</f>
        <v/>
      </c>
      <c r="AP68" s="14" t="n">
        <v>68</v>
      </c>
    </row>
    <row r="69">
      <c r="A69" s="6" t="inlineStr">
        <is>
          <t>Isuibul</t>
        </is>
      </c>
      <c r="B69" s="6" t="inlineStr">
        <is>
          <t>New Ayre</t>
        </is>
      </c>
      <c r="C69" s="6" t="inlineStr">
        <is>
          <t>microstate</t>
        </is>
      </c>
      <c r="D69" s="7" t="n">
        <v>35238</v>
      </c>
      <c r="E69" s="8">
        <f>D69*Config!$B$4</f>
        <v/>
      </c>
      <c r="F69" s="6">
        <f>LN(MAX(60,E69))</f>
        <v/>
      </c>
      <c r="G69" s="9">
        <f>MEDIAN(0,(F69-LN(Config!$B$5))/(LN(Config!$B$6)-LN(Config!$B$5)),1)</f>
        <v/>
      </c>
      <c r="H69" s="6">
        <f>MOD((Config!$B$2+$AP69*7919)*9301+49297,233280)/233280</f>
        <v/>
      </c>
      <c r="I69" s="6">
        <f>MOD((Config!$B$2+$AP69*104729)*4096+150889,714025)/714025</f>
        <v/>
      </c>
      <c r="J69" s="6">
        <f>MOD((Config!$B$2*31+$AP69*15485863)*1366+150889,714025)/714025</f>
        <v/>
      </c>
      <c r="K69" s="6" t="n"/>
      <c r="L69" s="6" t="n"/>
      <c r="M69" s="6">
        <f>COUNTIF(Siblings!$A$2:$A$84,B69)</f>
        <v/>
      </c>
      <c r="N69" s="6">
        <f>1+INT(J69*M69)</f>
        <v/>
      </c>
      <c r="O69" s="6">
        <f>IF(K69&lt;&gt;"",K69,IFERROR(INDEX(Siblings!$D$2:$D$84,MATCH(B69&amp;"|"&amp;N69,Siblings!$F$2:$F$84,0)),0))</f>
        <v/>
      </c>
      <c r="P69" s="6">
        <f>IF(L69&lt;&gt;"",L69,IFERROR(INDEX(Siblings!$E$2:$E$84,MATCH(B69&amp;"|"&amp;N69,Siblings!$F$2:$F$84,0)),0))</f>
        <v/>
      </c>
      <c r="Q69" s="6">
        <f>(INDEX('Earth curves'!$B$2:$B$46,MAX(1,MIN(44,IFERROR(MATCH(F69,'Earth curves'!$A$2:$A$46,1),1))))+(F69-INDEX('Earth curves'!$A$2:$A$46,MAX(1,MIN(44,IFERROR(MATCH(F69,'Earth curves'!$A$2:$A$46,1),1)))))*(INDEX('Earth curves'!$B$2:$B$46,MAX(1,MIN(44,IFERROR(MATCH(F69,'Earth curves'!$A$2:$A$46,1),1)))+1)-INDEX('Earth curves'!$B$2:$B$46,MAX(1,MIN(44,IFERROR(MATCH(F69,'Earth curves'!$A$2:$A$46,1),1)))))/(INDEX('Earth curves'!$A$2:$A$46,MAX(1,MIN(44,IFERROR(MATCH(F69,'Earth curves'!$A$2:$A$46,1),1)))+1)-INDEX('Earth curves'!$A$2:$A$46,MAX(1,MIN(44,IFERROR(MATCH(F69,'Earth curves'!$A$2:$A$46,1),1))))))</f>
        <v/>
      </c>
      <c r="R69" s="6">
        <f>(INDEX('Earth curves'!$C$2:$C$46,MAX(1,MIN(44,IFERROR(MATCH(F69,'Earth curves'!$A$2:$A$46,1),1))))+(F69-INDEX('Earth curves'!$A$2:$A$46,MAX(1,MIN(44,IFERROR(MATCH(F69,'Earth curves'!$A$2:$A$46,1),1)))))*(INDEX('Earth curves'!$C$2:$C$46,MAX(1,MIN(44,IFERROR(MATCH(F69,'Earth curves'!$A$2:$A$46,1),1)))+1)-INDEX('Earth curves'!$C$2:$C$46,MAX(1,MIN(44,IFERROR(MATCH(F69,'Earth curves'!$A$2:$A$46,1),1)))))/(INDEX('Earth curves'!$A$2:$A$46,MAX(1,MIN(44,IFERROR(MATCH(F69,'Earth curves'!$A$2:$A$46,1),1)))+1)-INDEX('Earth curves'!$A$2:$A$46,MAX(1,MIN(44,IFERROR(MATCH(F69,'Earth curves'!$A$2:$A$46,1),1))))))</f>
        <v/>
      </c>
      <c r="S69" s="6">
        <f>MEDIAN(0.307692,Q69+MEDIAN(-0.350583,O69+NORMSINV(H69)*0.064828*Config!$B$3,0.120277),0.993846)</f>
        <v/>
      </c>
      <c r="T69" s="10">
        <f>ROUND(Config!$B$7+(Config!$B$8-Config!$B$7)*S69,1)</f>
        <v/>
      </c>
      <c r="U69" s="11" t="n"/>
      <c r="V69" s="10">
        <f>IF(U69="",T69,U69)</f>
        <v/>
      </c>
      <c r="W69" s="6">
        <f>MEDIAN(0.05,R69+MEDIAN(-0.302219,P69+NORMSINV(I69)*0.089531*Config!$B$3,0.274961),0.999)</f>
        <v/>
      </c>
      <c r="X69" s="6">
        <f>(INDEX('Earth curves'!$F$2:$F$46,MAX(1,MIN(44,IFERROR(MATCH(W69,'Earth curves'!$E$2:$E$46,1),1))))+(W69-INDEX('Earth curves'!$E$2:$E$46,MAX(1,MIN(44,IFERROR(MATCH(W69,'Earth curves'!$E$2:$E$46,1),1)))))*(INDEX('Earth curves'!$F$2:$F$46,MAX(1,MIN(44,IFERROR(MATCH(W69,'Earth curves'!$E$2:$E$46,1),1)))+1)-INDEX('Earth curves'!$F$2:$F$46,MAX(1,MIN(44,IFERROR(MATCH(W69,'Earth curves'!$E$2:$E$46,1),1)))))/(INDEX('Earth curves'!$E$2:$E$46,MAX(1,MIN(44,IFERROR(MATCH(W69,'Earth curves'!$E$2:$E$46,1),1)))+1)-INDEX('Earth curves'!$E$2:$E$46,MAX(1,MIN(44,IFERROR(MATCH(W69,'Earth curves'!$E$2:$E$46,1),1))))))</f>
        <v/>
      </c>
      <c r="Y69" s="6">
        <f>(INDEX('Earth curves'!$G$2:$G$46,MAX(1,MIN(44,IFERROR(MATCH(W69,'Earth curves'!$E$2:$E$46,1),1))))+(W69-INDEX('Earth curves'!$E$2:$E$46,MAX(1,MIN(44,IFERROR(MATCH(W69,'Earth curves'!$E$2:$E$46,1),1)))))*(INDEX('Earth curves'!$G$2:$G$46,MAX(1,MIN(44,IFERROR(MATCH(W69,'Earth curves'!$E$2:$E$46,1),1)))+1)-INDEX('Earth curves'!$G$2:$G$46,MAX(1,MIN(44,IFERROR(MATCH(W69,'Earth curves'!$E$2:$E$46,1),1)))))/(INDEX('Earth curves'!$E$2:$E$46,MAX(1,MIN(44,IFERROR(MATCH(W69,'Earth curves'!$E$2:$E$46,1),1)))+1)-INDEX('Earth curves'!$E$2:$E$46,MAX(1,MIN(44,IFERROR(MATCH(W69,'Earth curves'!$E$2:$E$46,1),1))))))</f>
        <v/>
      </c>
      <c r="Z69" s="6">
        <f>(MIN(X69/Config!$B$9,1)+MIN(Y69/Config!$B$10,1))/2</f>
        <v/>
      </c>
      <c r="AA69" s="10">
        <f>ROUND(MIN(22,MAX(3,X69*W69/Z69)),1)</f>
        <v/>
      </c>
      <c r="AB69" s="11" t="n"/>
      <c r="AC69" s="10">
        <f>IF(AB69="",AA69,AB69)</f>
        <v/>
      </c>
      <c r="AD69" s="10">
        <f>ROUND(MIN(Config!$B$10,MAX(1,Y69*W69/Z69)),1)</f>
        <v/>
      </c>
      <c r="AE69" s="11" t="n"/>
      <c r="AF69" s="10">
        <f>IF(AE69="",AD69,AE69)</f>
        <v/>
      </c>
      <c r="AG69" s="9">
        <f>(V69-Config!$B$7)/(Config!$B$8-Config!$B$7)</f>
        <v/>
      </c>
      <c r="AH69" s="9">
        <f>(MIN(AC69/Config!$B$9,1)+MIN(AF69/Config!$B$10,1))/2</f>
        <v/>
      </c>
      <c r="AI69" s="12">
        <f>ROUND((AG69*AH69*G69)^(1/3),3)</f>
        <v/>
      </c>
      <c r="AJ69" s="12" t="n">
        <v>0.722</v>
      </c>
      <c r="AK69" s="13">
        <f>AI69-AJ69</f>
        <v/>
      </c>
      <c r="AL69" s="13">
        <f>AK69-AVERAGE($AK$2:$AK$173)</f>
        <v/>
      </c>
      <c r="AM69" s="6">
        <f>IF(ABS(AL69)&gt;Config!$B$11,"REVIEW","")</f>
        <v/>
      </c>
      <c r="AN69" s="14">
        <f>RANK(AI69,$AI$2:$AI$173)</f>
        <v/>
      </c>
      <c r="AO69" s="14">
        <f>RANK(AJ69,$AJ$2:$AJ$173)</f>
        <v/>
      </c>
      <c r="AP69" s="14" t="n">
        <v>69</v>
      </c>
    </row>
    <row r="70">
      <c r="A70" s="6" t="inlineStr">
        <is>
          <t>Jathua</t>
        </is>
      </c>
      <c r="B70" s="6" t="inlineStr">
        <is>
          <t>Acrola</t>
        </is>
      </c>
      <c r="C70" s="6" t="inlineStr">
        <is>
          <t>resource</t>
        </is>
      </c>
      <c r="D70" s="7" t="n">
        <v>6857</v>
      </c>
      <c r="E70" s="8">
        <f>D70*Config!$B$4</f>
        <v/>
      </c>
      <c r="F70" s="6">
        <f>LN(MAX(60,E70))</f>
        <v/>
      </c>
      <c r="G70" s="9">
        <f>MEDIAN(0,(F70-LN(Config!$B$5))/(LN(Config!$B$6)-LN(Config!$B$5)),1)</f>
        <v/>
      </c>
      <c r="H70" s="6">
        <f>MOD((Config!$B$2+$AP70*7919)*9301+49297,233280)/233280</f>
        <v/>
      </c>
      <c r="I70" s="6">
        <f>MOD((Config!$B$2+$AP70*104729)*4096+150889,714025)/714025</f>
        <v/>
      </c>
      <c r="J70" s="6">
        <f>MOD((Config!$B$2*31+$AP70*15485863)*1366+150889,714025)/714025</f>
        <v/>
      </c>
      <c r="K70" s="6" t="n"/>
      <c r="L70" s="6" t="n"/>
      <c r="M70" s="6">
        <f>COUNTIF(Siblings!$A$2:$A$84,B70)</f>
        <v/>
      </c>
      <c r="N70" s="6">
        <f>1+INT(J70*M70)</f>
        <v/>
      </c>
      <c r="O70" s="6">
        <f>IF(K70&lt;&gt;"",K70,IFERROR(INDEX(Siblings!$D$2:$D$84,MATCH(B70&amp;"|"&amp;N70,Siblings!$F$2:$F$84,0)),0))</f>
        <v/>
      </c>
      <c r="P70" s="6">
        <f>IF(L70&lt;&gt;"",L70,IFERROR(INDEX(Siblings!$E$2:$E$84,MATCH(B70&amp;"|"&amp;N70,Siblings!$F$2:$F$84,0)),0))</f>
        <v/>
      </c>
      <c r="Q70" s="6">
        <f>(INDEX('Earth curves'!$B$2:$B$46,MAX(1,MIN(44,IFERROR(MATCH(F70,'Earth curves'!$A$2:$A$46,1),1))))+(F70-INDEX('Earth curves'!$A$2:$A$46,MAX(1,MIN(44,IFERROR(MATCH(F70,'Earth curves'!$A$2:$A$46,1),1)))))*(INDEX('Earth curves'!$B$2:$B$46,MAX(1,MIN(44,IFERROR(MATCH(F70,'Earth curves'!$A$2:$A$46,1),1)))+1)-INDEX('Earth curves'!$B$2:$B$46,MAX(1,MIN(44,IFERROR(MATCH(F70,'Earth curves'!$A$2:$A$46,1),1)))))/(INDEX('Earth curves'!$A$2:$A$46,MAX(1,MIN(44,IFERROR(MATCH(F70,'Earth curves'!$A$2:$A$46,1),1)))+1)-INDEX('Earth curves'!$A$2:$A$46,MAX(1,MIN(44,IFERROR(MATCH(F70,'Earth curves'!$A$2:$A$46,1),1))))))</f>
        <v/>
      </c>
      <c r="R70" s="6">
        <f>(INDEX('Earth curves'!$C$2:$C$46,MAX(1,MIN(44,IFERROR(MATCH(F70,'Earth curves'!$A$2:$A$46,1),1))))+(F70-INDEX('Earth curves'!$A$2:$A$46,MAX(1,MIN(44,IFERROR(MATCH(F70,'Earth curves'!$A$2:$A$46,1),1)))))*(INDEX('Earth curves'!$C$2:$C$46,MAX(1,MIN(44,IFERROR(MATCH(F70,'Earth curves'!$A$2:$A$46,1),1)))+1)-INDEX('Earth curves'!$C$2:$C$46,MAX(1,MIN(44,IFERROR(MATCH(F70,'Earth curves'!$A$2:$A$46,1),1)))))/(INDEX('Earth curves'!$A$2:$A$46,MAX(1,MIN(44,IFERROR(MATCH(F70,'Earth curves'!$A$2:$A$46,1),1)))+1)-INDEX('Earth curves'!$A$2:$A$46,MAX(1,MIN(44,IFERROR(MATCH(F70,'Earth curves'!$A$2:$A$46,1),1))))))</f>
        <v/>
      </c>
      <c r="S70" s="6">
        <f>MEDIAN(0.307692,Q70+MEDIAN(-0.350583,O70+NORMSINV(H70)*0.064828*Config!$B$3,0.120277),0.993846)</f>
        <v/>
      </c>
      <c r="T70" s="10">
        <f>ROUND(Config!$B$7+(Config!$B$8-Config!$B$7)*S70,1)</f>
        <v/>
      </c>
      <c r="U70" s="11" t="n"/>
      <c r="V70" s="10">
        <f>IF(U70="",T70,U70)</f>
        <v/>
      </c>
      <c r="W70" s="6">
        <f>MEDIAN(0.05,R70+MEDIAN(-0.302219,P70+NORMSINV(I70)*0.089531*Config!$B$3,0.274961),0.999)</f>
        <v/>
      </c>
      <c r="X70" s="6">
        <f>(INDEX('Earth curves'!$F$2:$F$46,MAX(1,MIN(44,IFERROR(MATCH(W70,'Earth curves'!$E$2:$E$46,1),1))))+(W70-INDEX('Earth curves'!$E$2:$E$46,MAX(1,MIN(44,IFERROR(MATCH(W70,'Earth curves'!$E$2:$E$46,1),1)))))*(INDEX('Earth curves'!$F$2:$F$46,MAX(1,MIN(44,IFERROR(MATCH(W70,'Earth curves'!$E$2:$E$46,1),1)))+1)-INDEX('Earth curves'!$F$2:$F$46,MAX(1,MIN(44,IFERROR(MATCH(W70,'Earth curves'!$E$2:$E$46,1),1)))))/(INDEX('Earth curves'!$E$2:$E$46,MAX(1,MIN(44,IFERROR(MATCH(W70,'Earth curves'!$E$2:$E$46,1),1)))+1)-INDEX('Earth curves'!$E$2:$E$46,MAX(1,MIN(44,IFERROR(MATCH(W70,'Earth curves'!$E$2:$E$46,1),1))))))</f>
        <v/>
      </c>
      <c r="Y70" s="6">
        <f>(INDEX('Earth curves'!$G$2:$G$46,MAX(1,MIN(44,IFERROR(MATCH(W70,'Earth curves'!$E$2:$E$46,1),1))))+(W70-INDEX('Earth curves'!$E$2:$E$46,MAX(1,MIN(44,IFERROR(MATCH(W70,'Earth curves'!$E$2:$E$46,1),1)))))*(INDEX('Earth curves'!$G$2:$G$46,MAX(1,MIN(44,IFERROR(MATCH(W70,'Earth curves'!$E$2:$E$46,1),1)))+1)-INDEX('Earth curves'!$G$2:$G$46,MAX(1,MIN(44,IFERROR(MATCH(W70,'Earth curves'!$E$2:$E$46,1),1)))))/(INDEX('Earth curves'!$E$2:$E$46,MAX(1,MIN(44,IFERROR(MATCH(W70,'Earth curves'!$E$2:$E$46,1),1)))+1)-INDEX('Earth curves'!$E$2:$E$46,MAX(1,MIN(44,IFERROR(MATCH(W70,'Earth curves'!$E$2:$E$46,1),1))))))</f>
        <v/>
      </c>
      <c r="Z70" s="6">
        <f>(MIN(X70/Config!$B$9,1)+MIN(Y70/Config!$B$10,1))/2</f>
        <v/>
      </c>
      <c r="AA70" s="10">
        <f>ROUND(MIN(22,MAX(3,X70*W70/Z70)),1)</f>
        <v/>
      </c>
      <c r="AB70" s="11" t="n"/>
      <c r="AC70" s="10">
        <f>IF(AB70="",AA70,AB70)</f>
        <v/>
      </c>
      <c r="AD70" s="10">
        <f>ROUND(MIN(Config!$B$10,MAX(1,Y70*W70/Z70)),1)</f>
        <v/>
      </c>
      <c r="AE70" s="11" t="n"/>
      <c r="AF70" s="10">
        <f>IF(AE70="",AD70,AE70)</f>
        <v/>
      </c>
      <c r="AG70" s="9">
        <f>(V70-Config!$B$7)/(Config!$B$8-Config!$B$7)</f>
        <v/>
      </c>
      <c r="AH70" s="9">
        <f>(MIN(AC70/Config!$B$9,1)+MIN(AF70/Config!$B$10,1))/2</f>
        <v/>
      </c>
      <c r="AI70" s="12">
        <f>ROUND((AG70*AH70*G70)^(1/3),3)</f>
        <v/>
      </c>
      <c r="AJ70" s="12" t="n">
        <v>0.492</v>
      </c>
      <c r="AK70" s="13">
        <f>AI70-AJ70</f>
        <v/>
      </c>
      <c r="AL70" s="13">
        <f>AK70-AVERAGE($AK$2:$AK$173)</f>
        <v/>
      </c>
      <c r="AM70" s="6">
        <f>IF(ABS(AL70)&gt;Config!$B$11,"REVIEW","")</f>
        <v/>
      </c>
      <c r="AN70" s="14">
        <f>RANK(AI70,$AI$2:$AI$173)</f>
        <v/>
      </c>
      <c r="AO70" s="14">
        <f>RANK(AJ70,$AJ$2:$AJ$173)</f>
        <v/>
      </c>
      <c r="AP70" s="14" t="n">
        <v>70</v>
      </c>
    </row>
    <row r="71">
      <c r="A71" s="6" t="inlineStr">
        <is>
          <t>Jau</t>
        </is>
      </c>
      <c r="B71" s="6" t="inlineStr">
        <is>
          <t>Acrola</t>
        </is>
      </c>
      <c r="C71" s="6" t="inlineStr">
        <is>
          <t>resource</t>
        </is>
      </c>
      <c r="D71" s="7" t="n">
        <v>3492</v>
      </c>
      <c r="E71" s="8">
        <f>D71*Config!$B$4</f>
        <v/>
      </c>
      <c r="F71" s="6">
        <f>LN(MAX(60,E71))</f>
        <v/>
      </c>
      <c r="G71" s="9">
        <f>MEDIAN(0,(F71-LN(Config!$B$5))/(LN(Config!$B$6)-LN(Config!$B$5)),1)</f>
        <v/>
      </c>
      <c r="H71" s="6">
        <f>MOD((Config!$B$2+$AP71*7919)*9301+49297,233280)/233280</f>
        <v/>
      </c>
      <c r="I71" s="6">
        <f>MOD((Config!$B$2+$AP71*104729)*4096+150889,714025)/714025</f>
        <v/>
      </c>
      <c r="J71" s="6">
        <f>MOD((Config!$B$2*31+$AP71*15485863)*1366+150889,714025)/714025</f>
        <v/>
      </c>
      <c r="K71" s="6" t="n"/>
      <c r="L71" s="6" t="n"/>
      <c r="M71" s="6">
        <f>COUNTIF(Siblings!$A$2:$A$84,B71)</f>
        <v/>
      </c>
      <c r="N71" s="6">
        <f>1+INT(J71*M71)</f>
        <v/>
      </c>
      <c r="O71" s="6">
        <f>IF(K71&lt;&gt;"",K71,IFERROR(INDEX(Siblings!$D$2:$D$84,MATCH(B71&amp;"|"&amp;N71,Siblings!$F$2:$F$84,0)),0))</f>
        <v/>
      </c>
      <c r="P71" s="6">
        <f>IF(L71&lt;&gt;"",L71,IFERROR(INDEX(Siblings!$E$2:$E$84,MATCH(B71&amp;"|"&amp;N71,Siblings!$F$2:$F$84,0)),0))</f>
        <v/>
      </c>
      <c r="Q71" s="6">
        <f>(INDEX('Earth curves'!$B$2:$B$46,MAX(1,MIN(44,IFERROR(MATCH(F71,'Earth curves'!$A$2:$A$46,1),1))))+(F71-INDEX('Earth curves'!$A$2:$A$46,MAX(1,MIN(44,IFERROR(MATCH(F71,'Earth curves'!$A$2:$A$46,1),1)))))*(INDEX('Earth curves'!$B$2:$B$46,MAX(1,MIN(44,IFERROR(MATCH(F71,'Earth curves'!$A$2:$A$46,1),1)))+1)-INDEX('Earth curves'!$B$2:$B$46,MAX(1,MIN(44,IFERROR(MATCH(F71,'Earth curves'!$A$2:$A$46,1),1)))))/(INDEX('Earth curves'!$A$2:$A$46,MAX(1,MIN(44,IFERROR(MATCH(F71,'Earth curves'!$A$2:$A$46,1),1)))+1)-INDEX('Earth curves'!$A$2:$A$46,MAX(1,MIN(44,IFERROR(MATCH(F71,'Earth curves'!$A$2:$A$46,1),1))))))</f>
        <v/>
      </c>
      <c r="R71" s="6">
        <f>(INDEX('Earth curves'!$C$2:$C$46,MAX(1,MIN(44,IFERROR(MATCH(F71,'Earth curves'!$A$2:$A$46,1),1))))+(F71-INDEX('Earth curves'!$A$2:$A$46,MAX(1,MIN(44,IFERROR(MATCH(F71,'Earth curves'!$A$2:$A$46,1),1)))))*(INDEX('Earth curves'!$C$2:$C$46,MAX(1,MIN(44,IFERROR(MATCH(F71,'Earth curves'!$A$2:$A$46,1),1)))+1)-INDEX('Earth curves'!$C$2:$C$46,MAX(1,MIN(44,IFERROR(MATCH(F71,'Earth curves'!$A$2:$A$46,1),1)))))/(INDEX('Earth curves'!$A$2:$A$46,MAX(1,MIN(44,IFERROR(MATCH(F71,'Earth curves'!$A$2:$A$46,1),1)))+1)-INDEX('Earth curves'!$A$2:$A$46,MAX(1,MIN(44,IFERROR(MATCH(F71,'Earth curves'!$A$2:$A$46,1),1))))))</f>
        <v/>
      </c>
      <c r="S71" s="6">
        <f>MEDIAN(0.307692,Q71+MEDIAN(-0.350583,O71+NORMSINV(H71)*0.064828*Config!$B$3,0.120277),0.993846)</f>
        <v/>
      </c>
      <c r="T71" s="10">
        <f>ROUND(Config!$B$7+(Config!$B$8-Config!$B$7)*S71,1)</f>
        <v/>
      </c>
      <c r="U71" s="11" t="n"/>
      <c r="V71" s="10">
        <f>IF(U71="",T71,U71)</f>
        <v/>
      </c>
      <c r="W71" s="6">
        <f>MEDIAN(0.05,R71+MEDIAN(-0.302219,P71+NORMSINV(I71)*0.089531*Config!$B$3,0.274961),0.999)</f>
        <v/>
      </c>
      <c r="X71" s="6">
        <f>(INDEX('Earth curves'!$F$2:$F$46,MAX(1,MIN(44,IFERROR(MATCH(W71,'Earth curves'!$E$2:$E$46,1),1))))+(W71-INDEX('Earth curves'!$E$2:$E$46,MAX(1,MIN(44,IFERROR(MATCH(W71,'Earth curves'!$E$2:$E$46,1),1)))))*(INDEX('Earth curves'!$F$2:$F$46,MAX(1,MIN(44,IFERROR(MATCH(W71,'Earth curves'!$E$2:$E$46,1),1)))+1)-INDEX('Earth curves'!$F$2:$F$46,MAX(1,MIN(44,IFERROR(MATCH(W71,'Earth curves'!$E$2:$E$46,1),1)))))/(INDEX('Earth curves'!$E$2:$E$46,MAX(1,MIN(44,IFERROR(MATCH(W71,'Earth curves'!$E$2:$E$46,1),1)))+1)-INDEX('Earth curves'!$E$2:$E$46,MAX(1,MIN(44,IFERROR(MATCH(W71,'Earth curves'!$E$2:$E$46,1),1))))))</f>
        <v/>
      </c>
      <c r="Y71" s="6">
        <f>(INDEX('Earth curves'!$G$2:$G$46,MAX(1,MIN(44,IFERROR(MATCH(W71,'Earth curves'!$E$2:$E$46,1),1))))+(W71-INDEX('Earth curves'!$E$2:$E$46,MAX(1,MIN(44,IFERROR(MATCH(W71,'Earth curves'!$E$2:$E$46,1),1)))))*(INDEX('Earth curves'!$G$2:$G$46,MAX(1,MIN(44,IFERROR(MATCH(W71,'Earth curves'!$E$2:$E$46,1),1)))+1)-INDEX('Earth curves'!$G$2:$G$46,MAX(1,MIN(44,IFERROR(MATCH(W71,'Earth curves'!$E$2:$E$46,1),1)))))/(INDEX('Earth curves'!$E$2:$E$46,MAX(1,MIN(44,IFERROR(MATCH(W71,'Earth curves'!$E$2:$E$46,1),1)))+1)-INDEX('Earth curves'!$E$2:$E$46,MAX(1,MIN(44,IFERROR(MATCH(W71,'Earth curves'!$E$2:$E$46,1),1))))))</f>
        <v/>
      </c>
      <c r="Z71" s="6">
        <f>(MIN(X71/Config!$B$9,1)+MIN(Y71/Config!$B$10,1))/2</f>
        <v/>
      </c>
      <c r="AA71" s="10">
        <f>ROUND(MIN(22,MAX(3,X71*W71/Z71)),1)</f>
        <v/>
      </c>
      <c r="AB71" s="11" t="n"/>
      <c r="AC71" s="10">
        <f>IF(AB71="",AA71,AB71)</f>
        <v/>
      </c>
      <c r="AD71" s="10">
        <f>ROUND(MIN(Config!$B$10,MAX(1,Y71*W71/Z71)),1)</f>
        <v/>
      </c>
      <c r="AE71" s="11" t="n"/>
      <c r="AF71" s="10">
        <f>IF(AE71="",AD71,AE71)</f>
        <v/>
      </c>
      <c r="AG71" s="9">
        <f>(V71-Config!$B$7)/(Config!$B$8-Config!$B$7)</f>
        <v/>
      </c>
      <c r="AH71" s="9">
        <f>(MIN(AC71/Config!$B$9,1)+MIN(AF71/Config!$B$10,1))/2</f>
        <v/>
      </c>
      <c r="AI71" s="12">
        <f>ROUND((AG71*AH71*G71)^(1/3),3)</f>
        <v/>
      </c>
      <c r="AJ71" s="12" t="n">
        <v>0.595</v>
      </c>
      <c r="AK71" s="13">
        <f>AI71-AJ71</f>
        <v/>
      </c>
      <c r="AL71" s="13">
        <f>AK71-AVERAGE($AK$2:$AK$173)</f>
        <v/>
      </c>
      <c r="AM71" s="6">
        <f>IF(ABS(AL71)&gt;Config!$B$11,"REVIEW","")</f>
        <v/>
      </c>
      <c r="AN71" s="14">
        <f>RANK(AI71,$AI$2:$AI$173)</f>
        <v/>
      </c>
      <c r="AO71" s="14">
        <f>RANK(AJ71,$AJ$2:$AJ$173)</f>
        <v/>
      </c>
      <c r="AP71" s="14" t="n">
        <v>71</v>
      </c>
    </row>
    <row r="72">
      <c r="A72" s="6" t="inlineStr">
        <is>
          <t>Jshain</t>
        </is>
      </c>
      <c r="B72" s="6" t="inlineStr">
        <is>
          <t>Acrola</t>
        </is>
      </c>
      <c r="C72" s="6" t="inlineStr">
        <is>
          <t>—</t>
        </is>
      </c>
      <c r="D72" s="7" t="n">
        <v>23238</v>
      </c>
      <c r="E72" s="8">
        <f>D72*Config!$B$4</f>
        <v/>
      </c>
      <c r="F72" s="6">
        <f>LN(MAX(60,E72))</f>
        <v/>
      </c>
      <c r="G72" s="9">
        <f>MEDIAN(0,(F72-LN(Config!$B$5))/(LN(Config!$B$6)-LN(Config!$B$5)),1)</f>
        <v/>
      </c>
      <c r="H72" s="6">
        <f>MOD((Config!$B$2+$AP72*7919)*9301+49297,233280)/233280</f>
        <v/>
      </c>
      <c r="I72" s="6">
        <f>MOD((Config!$B$2+$AP72*104729)*4096+150889,714025)/714025</f>
        <v/>
      </c>
      <c r="J72" s="6">
        <f>MOD((Config!$B$2*31+$AP72*15485863)*1366+150889,714025)/714025</f>
        <v/>
      </c>
      <c r="K72" s="6" t="n">
        <v>-0.021886</v>
      </c>
      <c r="L72" s="6" t="n">
        <v>-0.014152</v>
      </c>
      <c r="M72" s="6">
        <f>COUNTIF(Siblings!$A$2:$A$84,B72)</f>
        <v/>
      </c>
      <c r="N72" s="6">
        <f>1+INT(J72*M72)</f>
        <v/>
      </c>
      <c r="O72" s="6">
        <f>IF(K72&lt;&gt;"",K72,IFERROR(INDEX(Siblings!$D$2:$D$84,MATCH(B72&amp;"|"&amp;N72,Siblings!$F$2:$F$84,0)),0))</f>
        <v/>
      </c>
      <c r="P72" s="6">
        <f>IF(L72&lt;&gt;"",L72,IFERROR(INDEX(Siblings!$E$2:$E$84,MATCH(B72&amp;"|"&amp;N72,Siblings!$F$2:$F$84,0)),0))</f>
        <v/>
      </c>
      <c r="Q72" s="6">
        <f>(INDEX('Earth curves'!$B$2:$B$46,MAX(1,MIN(44,IFERROR(MATCH(F72,'Earth curves'!$A$2:$A$46,1),1))))+(F72-INDEX('Earth curves'!$A$2:$A$46,MAX(1,MIN(44,IFERROR(MATCH(F72,'Earth curves'!$A$2:$A$46,1),1)))))*(INDEX('Earth curves'!$B$2:$B$46,MAX(1,MIN(44,IFERROR(MATCH(F72,'Earth curves'!$A$2:$A$46,1),1)))+1)-INDEX('Earth curves'!$B$2:$B$46,MAX(1,MIN(44,IFERROR(MATCH(F72,'Earth curves'!$A$2:$A$46,1),1)))))/(INDEX('Earth curves'!$A$2:$A$46,MAX(1,MIN(44,IFERROR(MATCH(F72,'Earth curves'!$A$2:$A$46,1),1)))+1)-INDEX('Earth curves'!$A$2:$A$46,MAX(1,MIN(44,IFERROR(MATCH(F72,'Earth curves'!$A$2:$A$46,1),1))))))</f>
        <v/>
      </c>
      <c r="R72" s="6">
        <f>(INDEX('Earth curves'!$C$2:$C$46,MAX(1,MIN(44,IFERROR(MATCH(F72,'Earth curves'!$A$2:$A$46,1),1))))+(F72-INDEX('Earth curves'!$A$2:$A$46,MAX(1,MIN(44,IFERROR(MATCH(F72,'Earth curves'!$A$2:$A$46,1),1)))))*(INDEX('Earth curves'!$C$2:$C$46,MAX(1,MIN(44,IFERROR(MATCH(F72,'Earth curves'!$A$2:$A$46,1),1)))+1)-INDEX('Earth curves'!$C$2:$C$46,MAX(1,MIN(44,IFERROR(MATCH(F72,'Earth curves'!$A$2:$A$46,1),1)))))/(INDEX('Earth curves'!$A$2:$A$46,MAX(1,MIN(44,IFERROR(MATCH(F72,'Earth curves'!$A$2:$A$46,1),1)))+1)-INDEX('Earth curves'!$A$2:$A$46,MAX(1,MIN(44,IFERROR(MATCH(F72,'Earth curves'!$A$2:$A$46,1),1))))))</f>
        <v/>
      </c>
      <c r="S72" s="6">
        <f>MEDIAN(0.307692,Q72+MEDIAN(-0.350583,O72+NORMSINV(H72)*0.064828*Config!$B$3,0.120277),0.993846)</f>
        <v/>
      </c>
      <c r="T72" s="10">
        <f>ROUND(Config!$B$7+(Config!$B$8-Config!$B$7)*S72,1)</f>
        <v/>
      </c>
      <c r="U72" s="11" t="n"/>
      <c r="V72" s="10">
        <f>IF(U72="",T72,U72)</f>
        <v/>
      </c>
      <c r="W72" s="6">
        <f>MEDIAN(0.05,R72+MEDIAN(-0.302219,P72+NORMSINV(I72)*0.089531*Config!$B$3,0.274961),0.999)</f>
        <v/>
      </c>
      <c r="X72" s="6">
        <f>(INDEX('Earth curves'!$F$2:$F$46,MAX(1,MIN(44,IFERROR(MATCH(W72,'Earth curves'!$E$2:$E$46,1),1))))+(W72-INDEX('Earth curves'!$E$2:$E$46,MAX(1,MIN(44,IFERROR(MATCH(W72,'Earth curves'!$E$2:$E$46,1),1)))))*(INDEX('Earth curves'!$F$2:$F$46,MAX(1,MIN(44,IFERROR(MATCH(W72,'Earth curves'!$E$2:$E$46,1),1)))+1)-INDEX('Earth curves'!$F$2:$F$46,MAX(1,MIN(44,IFERROR(MATCH(W72,'Earth curves'!$E$2:$E$46,1),1)))))/(INDEX('Earth curves'!$E$2:$E$46,MAX(1,MIN(44,IFERROR(MATCH(W72,'Earth curves'!$E$2:$E$46,1),1)))+1)-INDEX('Earth curves'!$E$2:$E$46,MAX(1,MIN(44,IFERROR(MATCH(W72,'Earth curves'!$E$2:$E$46,1),1))))))</f>
        <v/>
      </c>
      <c r="Y72" s="6">
        <f>(INDEX('Earth curves'!$G$2:$G$46,MAX(1,MIN(44,IFERROR(MATCH(W72,'Earth curves'!$E$2:$E$46,1),1))))+(W72-INDEX('Earth curves'!$E$2:$E$46,MAX(1,MIN(44,IFERROR(MATCH(W72,'Earth curves'!$E$2:$E$46,1),1)))))*(INDEX('Earth curves'!$G$2:$G$46,MAX(1,MIN(44,IFERROR(MATCH(W72,'Earth curves'!$E$2:$E$46,1),1)))+1)-INDEX('Earth curves'!$G$2:$G$46,MAX(1,MIN(44,IFERROR(MATCH(W72,'Earth curves'!$E$2:$E$46,1),1)))))/(INDEX('Earth curves'!$E$2:$E$46,MAX(1,MIN(44,IFERROR(MATCH(W72,'Earth curves'!$E$2:$E$46,1),1)))+1)-INDEX('Earth curves'!$E$2:$E$46,MAX(1,MIN(44,IFERROR(MATCH(W72,'Earth curves'!$E$2:$E$46,1),1))))))</f>
        <v/>
      </c>
      <c r="Z72" s="6">
        <f>(MIN(X72/Config!$B$9,1)+MIN(Y72/Config!$B$10,1))/2</f>
        <v/>
      </c>
      <c r="AA72" s="10">
        <f>ROUND(MIN(22,MAX(3,X72*W72/Z72)),1)</f>
        <v/>
      </c>
      <c r="AB72" s="11" t="n"/>
      <c r="AC72" s="10">
        <f>IF(AB72="",AA72,AB72)</f>
        <v/>
      </c>
      <c r="AD72" s="10">
        <f>ROUND(MIN(Config!$B$10,MAX(1,Y72*W72/Z72)),1)</f>
        <v/>
      </c>
      <c r="AE72" s="11" t="n"/>
      <c r="AF72" s="10">
        <f>IF(AE72="",AD72,AE72)</f>
        <v/>
      </c>
      <c r="AG72" s="9">
        <f>(V72-Config!$B$7)/(Config!$B$8-Config!$B$7)</f>
        <v/>
      </c>
      <c r="AH72" s="9">
        <f>(MIN(AC72/Config!$B$9,1)+MIN(AF72/Config!$B$10,1))/2</f>
        <v/>
      </c>
      <c r="AI72" s="12">
        <f>ROUND((AG72*AH72*G72)^(1/3),3)</f>
        <v/>
      </c>
      <c r="AJ72" s="12" t="n">
        <v>0.6909999999999999</v>
      </c>
      <c r="AK72" s="13">
        <f>AI72-AJ72</f>
        <v/>
      </c>
      <c r="AL72" s="13">
        <f>AK72-AVERAGE($AK$2:$AK$173)</f>
        <v/>
      </c>
      <c r="AM72" s="6">
        <f>IF(ABS(AL72)&gt;Config!$B$11,"REVIEW","")</f>
        <v/>
      </c>
      <c r="AN72" s="14">
        <f>RANK(AI72,$AI$2:$AI$173)</f>
        <v/>
      </c>
      <c r="AO72" s="14">
        <f>RANK(AJ72,$AJ$2:$AJ$173)</f>
        <v/>
      </c>
      <c r="AP72" s="14" t="n">
        <v>72</v>
      </c>
    </row>
    <row r="73">
      <c r="A73" s="6" t="inlineStr">
        <is>
          <t>Kaastini</t>
        </is>
      </c>
      <c r="B73" s="6" t="inlineStr">
        <is>
          <t>Massir</t>
        </is>
      </c>
      <c r="C73" s="6" t="inlineStr">
        <is>
          <t>militarised, resource</t>
        </is>
      </c>
      <c r="D73" s="7" t="n">
        <v>58730</v>
      </c>
      <c r="E73" s="8">
        <f>D73*Config!$B$4</f>
        <v/>
      </c>
      <c r="F73" s="6">
        <f>LN(MAX(60,E73))</f>
        <v/>
      </c>
      <c r="G73" s="9">
        <f>MEDIAN(0,(F73-LN(Config!$B$5))/(LN(Config!$B$6)-LN(Config!$B$5)),1)</f>
        <v/>
      </c>
      <c r="H73" s="6">
        <f>MOD((Config!$B$2+$AP73*7919)*9301+49297,233280)/233280</f>
        <v/>
      </c>
      <c r="I73" s="6">
        <f>MOD((Config!$B$2+$AP73*104729)*4096+150889,714025)/714025</f>
        <v/>
      </c>
      <c r="J73" s="6">
        <f>MOD((Config!$B$2*31+$AP73*15485863)*1366+150889,714025)/714025</f>
        <v/>
      </c>
      <c r="K73" s="6" t="n">
        <v>-0.036461</v>
      </c>
      <c r="L73" s="6" t="n">
        <v>0.087385</v>
      </c>
      <c r="M73" s="6">
        <f>COUNTIF(Siblings!$A$2:$A$84,B73)</f>
        <v/>
      </c>
      <c r="N73" s="6">
        <f>1+INT(J73*M73)</f>
        <v/>
      </c>
      <c r="O73" s="6">
        <f>IF(K73&lt;&gt;"",K73,IFERROR(INDEX(Siblings!$D$2:$D$84,MATCH(B73&amp;"|"&amp;N73,Siblings!$F$2:$F$84,0)),0))</f>
        <v/>
      </c>
      <c r="P73" s="6">
        <f>IF(L73&lt;&gt;"",L73,IFERROR(INDEX(Siblings!$E$2:$E$84,MATCH(B73&amp;"|"&amp;N73,Siblings!$F$2:$F$84,0)),0))</f>
        <v/>
      </c>
      <c r="Q73" s="6">
        <f>(INDEX('Earth curves'!$B$2:$B$46,MAX(1,MIN(44,IFERROR(MATCH(F73,'Earth curves'!$A$2:$A$46,1),1))))+(F73-INDEX('Earth curves'!$A$2:$A$46,MAX(1,MIN(44,IFERROR(MATCH(F73,'Earth curves'!$A$2:$A$46,1),1)))))*(INDEX('Earth curves'!$B$2:$B$46,MAX(1,MIN(44,IFERROR(MATCH(F73,'Earth curves'!$A$2:$A$46,1),1)))+1)-INDEX('Earth curves'!$B$2:$B$46,MAX(1,MIN(44,IFERROR(MATCH(F73,'Earth curves'!$A$2:$A$46,1),1)))))/(INDEX('Earth curves'!$A$2:$A$46,MAX(1,MIN(44,IFERROR(MATCH(F73,'Earth curves'!$A$2:$A$46,1),1)))+1)-INDEX('Earth curves'!$A$2:$A$46,MAX(1,MIN(44,IFERROR(MATCH(F73,'Earth curves'!$A$2:$A$46,1),1))))))</f>
        <v/>
      </c>
      <c r="R73" s="6">
        <f>(INDEX('Earth curves'!$C$2:$C$46,MAX(1,MIN(44,IFERROR(MATCH(F73,'Earth curves'!$A$2:$A$46,1),1))))+(F73-INDEX('Earth curves'!$A$2:$A$46,MAX(1,MIN(44,IFERROR(MATCH(F73,'Earth curves'!$A$2:$A$46,1),1)))))*(INDEX('Earth curves'!$C$2:$C$46,MAX(1,MIN(44,IFERROR(MATCH(F73,'Earth curves'!$A$2:$A$46,1),1)))+1)-INDEX('Earth curves'!$C$2:$C$46,MAX(1,MIN(44,IFERROR(MATCH(F73,'Earth curves'!$A$2:$A$46,1),1)))))/(INDEX('Earth curves'!$A$2:$A$46,MAX(1,MIN(44,IFERROR(MATCH(F73,'Earth curves'!$A$2:$A$46,1),1)))+1)-INDEX('Earth curves'!$A$2:$A$46,MAX(1,MIN(44,IFERROR(MATCH(F73,'Earth curves'!$A$2:$A$46,1),1))))))</f>
        <v/>
      </c>
      <c r="S73" s="6">
        <f>MEDIAN(0.307692,Q73+MEDIAN(-0.350583,O73+NORMSINV(H73)*0.064828*Config!$B$3,0.120277),0.993846)</f>
        <v/>
      </c>
      <c r="T73" s="10">
        <f>ROUND(Config!$B$7+(Config!$B$8-Config!$B$7)*S73,1)</f>
        <v/>
      </c>
      <c r="U73" s="11" t="n"/>
      <c r="V73" s="10">
        <f>IF(U73="",T73,U73)</f>
        <v/>
      </c>
      <c r="W73" s="6">
        <f>MEDIAN(0.05,R73+MEDIAN(-0.302219,P73+NORMSINV(I73)*0.089531*Config!$B$3,0.274961),0.999)</f>
        <v/>
      </c>
      <c r="X73" s="6">
        <f>(INDEX('Earth curves'!$F$2:$F$46,MAX(1,MIN(44,IFERROR(MATCH(W73,'Earth curves'!$E$2:$E$46,1),1))))+(W73-INDEX('Earth curves'!$E$2:$E$46,MAX(1,MIN(44,IFERROR(MATCH(W73,'Earth curves'!$E$2:$E$46,1),1)))))*(INDEX('Earth curves'!$F$2:$F$46,MAX(1,MIN(44,IFERROR(MATCH(W73,'Earth curves'!$E$2:$E$46,1),1)))+1)-INDEX('Earth curves'!$F$2:$F$46,MAX(1,MIN(44,IFERROR(MATCH(W73,'Earth curves'!$E$2:$E$46,1),1)))))/(INDEX('Earth curves'!$E$2:$E$46,MAX(1,MIN(44,IFERROR(MATCH(W73,'Earth curves'!$E$2:$E$46,1),1)))+1)-INDEX('Earth curves'!$E$2:$E$46,MAX(1,MIN(44,IFERROR(MATCH(W73,'Earth curves'!$E$2:$E$46,1),1))))))</f>
        <v/>
      </c>
      <c r="Y73" s="6">
        <f>(INDEX('Earth curves'!$G$2:$G$46,MAX(1,MIN(44,IFERROR(MATCH(W73,'Earth curves'!$E$2:$E$46,1),1))))+(W73-INDEX('Earth curves'!$E$2:$E$46,MAX(1,MIN(44,IFERROR(MATCH(W73,'Earth curves'!$E$2:$E$46,1),1)))))*(INDEX('Earth curves'!$G$2:$G$46,MAX(1,MIN(44,IFERROR(MATCH(W73,'Earth curves'!$E$2:$E$46,1),1)))+1)-INDEX('Earth curves'!$G$2:$G$46,MAX(1,MIN(44,IFERROR(MATCH(W73,'Earth curves'!$E$2:$E$46,1),1)))))/(INDEX('Earth curves'!$E$2:$E$46,MAX(1,MIN(44,IFERROR(MATCH(W73,'Earth curves'!$E$2:$E$46,1),1)))+1)-INDEX('Earth curves'!$E$2:$E$46,MAX(1,MIN(44,IFERROR(MATCH(W73,'Earth curves'!$E$2:$E$46,1),1))))))</f>
        <v/>
      </c>
      <c r="Z73" s="6">
        <f>(MIN(X73/Config!$B$9,1)+MIN(Y73/Config!$B$10,1))/2</f>
        <v/>
      </c>
      <c r="AA73" s="10">
        <f>ROUND(MIN(22,MAX(3,X73*W73/Z73)),1)</f>
        <v/>
      </c>
      <c r="AB73" s="11" t="n"/>
      <c r="AC73" s="10">
        <f>IF(AB73="",AA73,AB73)</f>
        <v/>
      </c>
      <c r="AD73" s="10">
        <f>ROUND(MIN(Config!$B$10,MAX(1,Y73*W73/Z73)),1)</f>
        <v/>
      </c>
      <c r="AE73" s="11" t="n"/>
      <c r="AF73" s="10">
        <f>IF(AE73="",AD73,AE73)</f>
        <v/>
      </c>
      <c r="AG73" s="9">
        <f>(V73-Config!$B$7)/(Config!$B$8-Config!$B$7)</f>
        <v/>
      </c>
      <c r="AH73" s="9">
        <f>(MIN(AC73/Config!$B$9,1)+MIN(AF73/Config!$B$10,1))/2</f>
        <v/>
      </c>
      <c r="AI73" s="12">
        <f>ROUND((AG73*AH73*G73)^(1/3),3)</f>
        <v/>
      </c>
      <c r="AJ73" s="12" t="n">
        <v>0.744</v>
      </c>
      <c r="AK73" s="13">
        <f>AI73-AJ73</f>
        <v/>
      </c>
      <c r="AL73" s="13">
        <f>AK73-AVERAGE($AK$2:$AK$173)</f>
        <v/>
      </c>
      <c r="AM73" s="6">
        <f>IF(ABS(AL73)&gt;Config!$B$11,"REVIEW","")</f>
        <v/>
      </c>
      <c r="AN73" s="14">
        <f>RANK(AI73,$AI$2:$AI$173)</f>
        <v/>
      </c>
      <c r="AO73" s="14">
        <f>RANK(AJ73,$AJ$2:$AJ$173)</f>
        <v/>
      </c>
      <c r="AP73" s="14" t="n">
        <v>73</v>
      </c>
    </row>
    <row r="74">
      <c r="A74" s="6" t="inlineStr">
        <is>
          <t>Koruch</t>
        </is>
      </c>
      <c r="B74" s="6" t="inlineStr">
        <is>
          <t>Ayuma</t>
        </is>
      </c>
      <c r="C74" s="6" t="inlineStr">
        <is>
          <t>petro</t>
        </is>
      </c>
      <c r="D74" s="7" t="n">
        <v>146032</v>
      </c>
      <c r="E74" s="8">
        <f>D74*Config!$B$4</f>
        <v/>
      </c>
      <c r="F74" s="6">
        <f>LN(MAX(60,E74))</f>
        <v/>
      </c>
      <c r="G74" s="9">
        <f>MEDIAN(0,(F74-LN(Config!$B$5))/(LN(Config!$B$6)-LN(Config!$B$5)),1)</f>
        <v/>
      </c>
      <c r="H74" s="6">
        <f>MOD((Config!$B$2+$AP74*7919)*9301+49297,233280)/233280</f>
        <v/>
      </c>
      <c r="I74" s="6">
        <f>MOD((Config!$B$2+$AP74*104729)*4096+150889,714025)/714025</f>
        <v/>
      </c>
      <c r="J74" s="6">
        <f>MOD((Config!$B$2*31+$AP74*15485863)*1366+150889,714025)/714025</f>
        <v/>
      </c>
      <c r="K74" s="6" t="n"/>
      <c r="L74" s="6" t="n"/>
      <c r="M74" s="6">
        <f>COUNTIF(Siblings!$A$2:$A$84,B74)</f>
        <v/>
      </c>
      <c r="N74" s="6">
        <f>1+INT(J74*M74)</f>
        <v/>
      </c>
      <c r="O74" s="6">
        <f>IF(K74&lt;&gt;"",K74,IFERROR(INDEX(Siblings!$D$2:$D$84,MATCH(B74&amp;"|"&amp;N74,Siblings!$F$2:$F$84,0)),0))</f>
        <v/>
      </c>
      <c r="P74" s="6">
        <f>IF(L74&lt;&gt;"",L74,IFERROR(INDEX(Siblings!$E$2:$E$84,MATCH(B74&amp;"|"&amp;N74,Siblings!$F$2:$F$84,0)),0))</f>
        <v/>
      </c>
      <c r="Q74" s="6">
        <f>(INDEX('Earth curves'!$B$2:$B$46,MAX(1,MIN(44,IFERROR(MATCH(F74,'Earth curves'!$A$2:$A$46,1),1))))+(F74-INDEX('Earth curves'!$A$2:$A$46,MAX(1,MIN(44,IFERROR(MATCH(F74,'Earth curves'!$A$2:$A$46,1),1)))))*(INDEX('Earth curves'!$B$2:$B$46,MAX(1,MIN(44,IFERROR(MATCH(F74,'Earth curves'!$A$2:$A$46,1),1)))+1)-INDEX('Earth curves'!$B$2:$B$46,MAX(1,MIN(44,IFERROR(MATCH(F74,'Earth curves'!$A$2:$A$46,1),1)))))/(INDEX('Earth curves'!$A$2:$A$46,MAX(1,MIN(44,IFERROR(MATCH(F74,'Earth curves'!$A$2:$A$46,1),1)))+1)-INDEX('Earth curves'!$A$2:$A$46,MAX(1,MIN(44,IFERROR(MATCH(F74,'Earth curves'!$A$2:$A$46,1),1))))))</f>
        <v/>
      </c>
      <c r="R74" s="6">
        <f>(INDEX('Earth curves'!$C$2:$C$46,MAX(1,MIN(44,IFERROR(MATCH(F74,'Earth curves'!$A$2:$A$46,1),1))))+(F74-INDEX('Earth curves'!$A$2:$A$46,MAX(1,MIN(44,IFERROR(MATCH(F74,'Earth curves'!$A$2:$A$46,1),1)))))*(INDEX('Earth curves'!$C$2:$C$46,MAX(1,MIN(44,IFERROR(MATCH(F74,'Earth curves'!$A$2:$A$46,1),1)))+1)-INDEX('Earth curves'!$C$2:$C$46,MAX(1,MIN(44,IFERROR(MATCH(F74,'Earth curves'!$A$2:$A$46,1),1)))))/(INDEX('Earth curves'!$A$2:$A$46,MAX(1,MIN(44,IFERROR(MATCH(F74,'Earth curves'!$A$2:$A$46,1),1)))+1)-INDEX('Earth curves'!$A$2:$A$46,MAX(1,MIN(44,IFERROR(MATCH(F74,'Earth curves'!$A$2:$A$46,1),1))))))</f>
        <v/>
      </c>
      <c r="S74" s="6">
        <f>MEDIAN(0.307692,Q74+MEDIAN(-0.350583,O74+NORMSINV(H74)*0.064828*Config!$B$3,0.120277),0.993846)</f>
        <v/>
      </c>
      <c r="T74" s="10">
        <f>ROUND(Config!$B$7+(Config!$B$8-Config!$B$7)*S74,1)</f>
        <v/>
      </c>
      <c r="U74" s="11" t="n"/>
      <c r="V74" s="10">
        <f>IF(U74="",T74,U74)</f>
        <v/>
      </c>
      <c r="W74" s="6">
        <f>MEDIAN(0.05,R74+MEDIAN(-0.302219,P74+NORMSINV(I74)*0.089531*Config!$B$3,0.274961),0.999)</f>
        <v/>
      </c>
      <c r="X74" s="6">
        <f>(INDEX('Earth curves'!$F$2:$F$46,MAX(1,MIN(44,IFERROR(MATCH(W74,'Earth curves'!$E$2:$E$46,1),1))))+(W74-INDEX('Earth curves'!$E$2:$E$46,MAX(1,MIN(44,IFERROR(MATCH(W74,'Earth curves'!$E$2:$E$46,1),1)))))*(INDEX('Earth curves'!$F$2:$F$46,MAX(1,MIN(44,IFERROR(MATCH(W74,'Earth curves'!$E$2:$E$46,1),1)))+1)-INDEX('Earth curves'!$F$2:$F$46,MAX(1,MIN(44,IFERROR(MATCH(W74,'Earth curves'!$E$2:$E$46,1),1)))))/(INDEX('Earth curves'!$E$2:$E$46,MAX(1,MIN(44,IFERROR(MATCH(W74,'Earth curves'!$E$2:$E$46,1),1)))+1)-INDEX('Earth curves'!$E$2:$E$46,MAX(1,MIN(44,IFERROR(MATCH(W74,'Earth curves'!$E$2:$E$46,1),1))))))</f>
        <v/>
      </c>
      <c r="Y74" s="6">
        <f>(INDEX('Earth curves'!$G$2:$G$46,MAX(1,MIN(44,IFERROR(MATCH(W74,'Earth curves'!$E$2:$E$46,1),1))))+(W74-INDEX('Earth curves'!$E$2:$E$46,MAX(1,MIN(44,IFERROR(MATCH(W74,'Earth curves'!$E$2:$E$46,1),1)))))*(INDEX('Earth curves'!$G$2:$G$46,MAX(1,MIN(44,IFERROR(MATCH(W74,'Earth curves'!$E$2:$E$46,1),1)))+1)-INDEX('Earth curves'!$G$2:$G$46,MAX(1,MIN(44,IFERROR(MATCH(W74,'Earth curves'!$E$2:$E$46,1),1)))))/(INDEX('Earth curves'!$E$2:$E$46,MAX(1,MIN(44,IFERROR(MATCH(W74,'Earth curves'!$E$2:$E$46,1),1)))+1)-INDEX('Earth curves'!$E$2:$E$46,MAX(1,MIN(44,IFERROR(MATCH(W74,'Earth curves'!$E$2:$E$46,1),1))))))</f>
        <v/>
      </c>
      <c r="Z74" s="6">
        <f>(MIN(X74/Config!$B$9,1)+MIN(Y74/Config!$B$10,1))/2</f>
        <v/>
      </c>
      <c r="AA74" s="10">
        <f>ROUND(MIN(22,MAX(3,X74*W74/Z74)),1)</f>
        <v/>
      </c>
      <c r="AB74" s="11" t="n"/>
      <c r="AC74" s="10">
        <f>IF(AB74="",AA74,AB74)</f>
        <v/>
      </c>
      <c r="AD74" s="10">
        <f>ROUND(MIN(Config!$B$10,MAX(1,Y74*W74/Z74)),1)</f>
        <v/>
      </c>
      <c r="AE74" s="11" t="n"/>
      <c r="AF74" s="10">
        <f>IF(AE74="",AD74,AE74)</f>
        <v/>
      </c>
      <c r="AG74" s="9">
        <f>(V74-Config!$B$7)/(Config!$B$8-Config!$B$7)</f>
        <v/>
      </c>
      <c r="AH74" s="9">
        <f>(MIN(AC74/Config!$B$9,1)+MIN(AF74/Config!$B$10,1))/2</f>
        <v/>
      </c>
      <c r="AI74" s="12">
        <f>ROUND((AG74*AH74*G74)^(1/3),3)</f>
        <v/>
      </c>
      <c r="AJ74" s="12" t="n">
        <v>0.93</v>
      </c>
      <c r="AK74" s="13">
        <f>AI74-AJ74</f>
        <v/>
      </c>
      <c r="AL74" s="13">
        <f>AK74-AVERAGE($AK$2:$AK$173)</f>
        <v/>
      </c>
      <c r="AM74" s="6">
        <f>IF(ABS(AL74)&gt;Config!$B$11,"REVIEW","")</f>
        <v/>
      </c>
      <c r="AN74" s="14">
        <f>RANK(AI74,$AI$2:$AI$173)</f>
        <v/>
      </c>
      <c r="AO74" s="14">
        <f>RANK(AJ74,$AJ$2:$AJ$173)</f>
        <v/>
      </c>
      <c r="AP74" s="14" t="n">
        <v>74</v>
      </c>
    </row>
    <row r="75">
      <c r="A75" s="6" t="inlineStr">
        <is>
          <t>Kusierna</t>
        </is>
      </c>
      <c r="B75" s="6" t="inlineStr">
        <is>
          <t>Massir</t>
        </is>
      </c>
      <c r="C75" s="6" t="inlineStr">
        <is>
          <t>—</t>
        </is>
      </c>
      <c r="D75" s="7" t="n">
        <v>51429</v>
      </c>
      <c r="E75" s="8">
        <f>D75*Config!$B$4</f>
        <v/>
      </c>
      <c r="F75" s="6">
        <f>LN(MAX(60,E75))</f>
        <v/>
      </c>
      <c r="G75" s="9">
        <f>MEDIAN(0,(F75-LN(Config!$B$5))/(LN(Config!$B$6)-LN(Config!$B$5)),1)</f>
        <v/>
      </c>
      <c r="H75" s="6">
        <f>MOD((Config!$B$2+$AP75*7919)*9301+49297,233280)/233280</f>
        <v/>
      </c>
      <c r="I75" s="6">
        <f>MOD((Config!$B$2+$AP75*104729)*4096+150889,714025)/714025</f>
        <v/>
      </c>
      <c r="J75" s="6">
        <f>MOD((Config!$B$2*31+$AP75*15485863)*1366+150889,714025)/714025</f>
        <v/>
      </c>
      <c r="K75" s="6" t="n">
        <v>0.01263</v>
      </c>
      <c r="L75" s="6" t="n">
        <v>0.088463</v>
      </c>
      <c r="M75" s="6">
        <f>COUNTIF(Siblings!$A$2:$A$84,B75)</f>
        <v/>
      </c>
      <c r="N75" s="6">
        <f>1+INT(J75*M75)</f>
        <v/>
      </c>
      <c r="O75" s="6">
        <f>IF(K75&lt;&gt;"",K75,IFERROR(INDEX(Siblings!$D$2:$D$84,MATCH(B75&amp;"|"&amp;N75,Siblings!$F$2:$F$84,0)),0))</f>
        <v/>
      </c>
      <c r="P75" s="6">
        <f>IF(L75&lt;&gt;"",L75,IFERROR(INDEX(Siblings!$E$2:$E$84,MATCH(B75&amp;"|"&amp;N75,Siblings!$F$2:$F$84,0)),0))</f>
        <v/>
      </c>
      <c r="Q75" s="6">
        <f>(INDEX('Earth curves'!$B$2:$B$46,MAX(1,MIN(44,IFERROR(MATCH(F75,'Earth curves'!$A$2:$A$46,1),1))))+(F75-INDEX('Earth curves'!$A$2:$A$46,MAX(1,MIN(44,IFERROR(MATCH(F75,'Earth curves'!$A$2:$A$46,1),1)))))*(INDEX('Earth curves'!$B$2:$B$46,MAX(1,MIN(44,IFERROR(MATCH(F75,'Earth curves'!$A$2:$A$46,1),1)))+1)-INDEX('Earth curves'!$B$2:$B$46,MAX(1,MIN(44,IFERROR(MATCH(F75,'Earth curves'!$A$2:$A$46,1),1)))))/(INDEX('Earth curves'!$A$2:$A$46,MAX(1,MIN(44,IFERROR(MATCH(F75,'Earth curves'!$A$2:$A$46,1),1)))+1)-INDEX('Earth curves'!$A$2:$A$46,MAX(1,MIN(44,IFERROR(MATCH(F75,'Earth curves'!$A$2:$A$46,1),1))))))</f>
        <v/>
      </c>
      <c r="R75" s="6">
        <f>(INDEX('Earth curves'!$C$2:$C$46,MAX(1,MIN(44,IFERROR(MATCH(F75,'Earth curves'!$A$2:$A$46,1),1))))+(F75-INDEX('Earth curves'!$A$2:$A$46,MAX(1,MIN(44,IFERROR(MATCH(F75,'Earth curves'!$A$2:$A$46,1),1)))))*(INDEX('Earth curves'!$C$2:$C$46,MAX(1,MIN(44,IFERROR(MATCH(F75,'Earth curves'!$A$2:$A$46,1),1)))+1)-INDEX('Earth curves'!$C$2:$C$46,MAX(1,MIN(44,IFERROR(MATCH(F75,'Earth curves'!$A$2:$A$46,1),1)))))/(INDEX('Earth curves'!$A$2:$A$46,MAX(1,MIN(44,IFERROR(MATCH(F75,'Earth curves'!$A$2:$A$46,1),1)))+1)-INDEX('Earth curves'!$A$2:$A$46,MAX(1,MIN(44,IFERROR(MATCH(F75,'Earth curves'!$A$2:$A$46,1),1))))))</f>
        <v/>
      </c>
      <c r="S75" s="6">
        <f>MEDIAN(0.307692,Q75+MEDIAN(-0.350583,O75+NORMSINV(H75)*0.064828*Config!$B$3,0.120277),0.993846)</f>
        <v/>
      </c>
      <c r="T75" s="10">
        <f>ROUND(Config!$B$7+(Config!$B$8-Config!$B$7)*S75,1)</f>
        <v/>
      </c>
      <c r="U75" s="11" t="n"/>
      <c r="V75" s="10">
        <f>IF(U75="",T75,U75)</f>
        <v/>
      </c>
      <c r="W75" s="6">
        <f>MEDIAN(0.05,R75+MEDIAN(-0.302219,P75+NORMSINV(I75)*0.089531*Config!$B$3,0.274961),0.999)</f>
        <v/>
      </c>
      <c r="X75" s="6">
        <f>(INDEX('Earth curves'!$F$2:$F$46,MAX(1,MIN(44,IFERROR(MATCH(W75,'Earth curves'!$E$2:$E$46,1),1))))+(W75-INDEX('Earth curves'!$E$2:$E$46,MAX(1,MIN(44,IFERROR(MATCH(W75,'Earth curves'!$E$2:$E$46,1),1)))))*(INDEX('Earth curves'!$F$2:$F$46,MAX(1,MIN(44,IFERROR(MATCH(W75,'Earth curves'!$E$2:$E$46,1),1)))+1)-INDEX('Earth curves'!$F$2:$F$46,MAX(1,MIN(44,IFERROR(MATCH(W75,'Earth curves'!$E$2:$E$46,1),1)))))/(INDEX('Earth curves'!$E$2:$E$46,MAX(1,MIN(44,IFERROR(MATCH(W75,'Earth curves'!$E$2:$E$46,1),1)))+1)-INDEX('Earth curves'!$E$2:$E$46,MAX(1,MIN(44,IFERROR(MATCH(W75,'Earth curves'!$E$2:$E$46,1),1))))))</f>
        <v/>
      </c>
      <c r="Y75" s="6">
        <f>(INDEX('Earth curves'!$G$2:$G$46,MAX(1,MIN(44,IFERROR(MATCH(W75,'Earth curves'!$E$2:$E$46,1),1))))+(W75-INDEX('Earth curves'!$E$2:$E$46,MAX(1,MIN(44,IFERROR(MATCH(W75,'Earth curves'!$E$2:$E$46,1),1)))))*(INDEX('Earth curves'!$G$2:$G$46,MAX(1,MIN(44,IFERROR(MATCH(W75,'Earth curves'!$E$2:$E$46,1),1)))+1)-INDEX('Earth curves'!$G$2:$G$46,MAX(1,MIN(44,IFERROR(MATCH(W75,'Earth curves'!$E$2:$E$46,1),1)))))/(INDEX('Earth curves'!$E$2:$E$46,MAX(1,MIN(44,IFERROR(MATCH(W75,'Earth curves'!$E$2:$E$46,1),1)))+1)-INDEX('Earth curves'!$E$2:$E$46,MAX(1,MIN(44,IFERROR(MATCH(W75,'Earth curves'!$E$2:$E$46,1),1))))))</f>
        <v/>
      </c>
      <c r="Z75" s="6">
        <f>(MIN(X75/Config!$B$9,1)+MIN(Y75/Config!$B$10,1))/2</f>
        <v/>
      </c>
      <c r="AA75" s="10">
        <f>ROUND(MIN(22,MAX(3,X75*W75/Z75)),1)</f>
        <v/>
      </c>
      <c r="AB75" s="11" t="n"/>
      <c r="AC75" s="10">
        <f>IF(AB75="",AA75,AB75)</f>
        <v/>
      </c>
      <c r="AD75" s="10">
        <f>ROUND(MIN(Config!$B$10,MAX(1,Y75*W75/Z75)),1)</f>
        <v/>
      </c>
      <c r="AE75" s="11" t="n"/>
      <c r="AF75" s="10">
        <f>IF(AE75="",AD75,AE75)</f>
        <v/>
      </c>
      <c r="AG75" s="9">
        <f>(V75-Config!$B$7)/(Config!$B$8-Config!$B$7)</f>
        <v/>
      </c>
      <c r="AH75" s="9">
        <f>(MIN(AC75/Config!$B$9,1)+MIN(AF75/Config!$B$10,1))/2</f>
        <v/>
      </c>
      <c r="AI75" s="12">
        <f>ROUND((AG75*AH75*G75)^(1/3),3)</f>
        <v/>
      </c>
      <c r="AJ75" s="12" t="n">
        <v>0.6929999999999999</v>
      </c>
      <c r="AK75" s="13">
        <f>AI75-AJ75</f>
        <v/>
      </c>
      <c r="AL75" s="13">
        <f>AK75-AVERAGE($AK$2:$AK$173)</f>
        <v/>
      </c>
      <c r="AM75" s="6">
        <f>IF(ABS(AL75)&gt;Config!$B$11,"REVIEW","")</f>
        <v/>
      </c>
      <c r="AN75" s="14">
        <f>RANK(AI75,$AI$2:$AI$173)</f>
        <v/>
      </c>
      <c r="AO75" s="14">
        <f>RANK(AJ75,$AJ$2:$AJ$173)</f>
        <v/>
      </c>
      <c r="AP75" s="14" t="n">
        <v>75</v>
      </c>
    </row>
    <row r="76">
      <c r="A76" s="6" t="inlineStr">
        <is>
          <t>Laselteh</t>
        </is>
      </c>
      <c r="B76" s="6" t="inlineStr">
        <is>
          <t>Atirha</t>
        </is>
      </c>
      <c r="C76" s="6" t="inlineStr">
        <is>
          <t>resource</t>
        </is>
      </c>
      <c r="D76" s="7" t="n">
        <v>197778</v>
      </c>
      <c r="E76" s="8">
        <f>D76*Config!$B$4</f>
        <v/>
      </c>
      <c r="F76" s="6">
        <f>LN(MAX(60,E76))</f>
        <v/>
      </c>
      <c r="G76" s="9">
        <f>MEDIAN(0,(F76-LN(Config!$B$5))/(LN(Config!$B$6)-LN(Config!$B$5)),1)</f>
        <v/>
      </c>
      <c r="H76" s="6">
        <f>MOD((Config!$B$2+$AP76*7919)*9301+49297,233280)/233280</f>
        <v/>
      </c>
      <c r="I76" s="6">
        <f>MOD((Config!$B$2+$AP76*104729)*4096+150889,714025)/714025</f>
        <v/>
      </c>
      <c r="J76" s="6">
        <f>MOD((Config!$B$2*31+$AP76*15485863)*1366+150889,714025)/714025</f>
        <v/>
      </c>
      <c r="K76" s="6" t="n">
        <v>-0.043414</v>
      </c>
      <c r="L76" s="6" t="n">
        <v>0.06729</v>
      </c>
      <c r="M76" s="6">
        <f>COUNTIF(Siblings!$A$2:$A$84,B76)</f>
        <v/>
      </c>
      <c r="N76" s="6">
        <f>1+INT(J76*M76)</f>
        <v/>
      </c>
      <c r="O76" s="6">
        <f>IF(K76&lt;&gt;"",K76,IFERROR(INDEX(Siblings!$D$2:$D$84,MATCH(B76&amp;"|"&amp;N76,Siblings!$F$2:$F$84,0)),0))</f>
        <v/>
      </c>
      <c r="P76" s="6">
        <f>IF(L76&lt;&gt;"",L76,IFERROR(INDEX(Siblings!$E$2:$E$84,MATCH(B76&amp;"|"&amp;N76,Siblings!$F$2:$F$84,0)),0))</f>
        <v/>
      </c>
      <c r="Q76" s="6">
        <f>(INDEX('Earth curves'!$B$2:$B$46,MAX(1,MIN(44,IFERROR(MATCH(F76,'Earth curves'!$A$2:$A$46,1),1))))+(F76-INDEX('Earth curves'!$A$2:$A$46,MAX(1,MIN(44,IFERROR(MATCH(F76,'Earth curves'!$A$2:$A$46,1),1)))))*(INDEX('Earth curves'!$B$2:$B$46,MAX(1,MIN(44,IFERROR(MATCH(F76,'Earth curves'!$A$2:$A$46,1),1)))+1)-INDEX('Earth curves'!$B$2:$B$46,MAX(1,MIN(44,IFERROR(MATCH(F76,'Earth curves'!$A$2:$A$46,1),1)))))/(INDEX('Earth curves'!$A$2:$A$46,MAX(1,MIN(44,IFERROR(MATCH(F76,'Earth curves'!$A$2:$A$46,1),1)))+1)-INDEX('Earth curves'!$A$2:$A$46,MAX(1,MIN(44,IFERROR(MATCH(F76,'Earth curves'!$A$2:$A$46,1),1))))))</f>
        <v/>
      </c>
      <c r="R76" s="6">
        <f>(INDEX('Earth curves'!$C$2:$C$46,MAX(1,MIN(44,IFERROR(MATCH(F76,'Earth curves'!$A$2:$A$46,1),1))))+(F76-INDEX('Earth curves'!$A$2:$A$46,MAX(1,MIN(44,IFERROR(MATCH(F76,'Earth curves'!$A$2:$A$46,1),1)))))*(INDEX('Earth curves'!$C$2:$C$46,MAX(1,MIN(44,IFERROR(MATCH(F76,'Earth curves'!$A$2:$A$46,1),1)))+1)-INDEX('Earth curves'!$C$2:$C$46,MAX(1,MIN(44,IFERROR(MATCH(F76,'Earth curves'!$A$2:$A$46,1),1)))))/(INDEX('Earth curves'!$A$2:$A$46,MAX(1,MIN(44,IFERROR(MATCH(F76,'Earth curves'!$A$2:$A$46,1),1)))+1)-INDEX('Earth curves'!$A$2:$A$46,MAX(1,MIN(44,IFERROR(MATCH(F76,'Earth curves'!$A$2:$A$46,1),1))))))</f>
        <v/>
      </c>
      <c r="S76" s="6">
        <f>MEDIAN(0.307692,Q76+MEDIAN(-0.350583,O76+NORMSINV(H76)*0.064828*Config!$B$3,0.120277),0.993846)</f>
        <v/>
      </c>
      <c r="T76" s="10">
        <f>ROUND(Config!$B$7+(Config!$B$8-Config!$B$7)*S76,1)</f>
        <v/>
      </c>
      <c r="U76" s="11" t="n"/>
      <c r="V76" s="10">
        <f>IF(U76="",T76,U76)</f>
        <v/>
      </c>
      <c r="W76" s="6">
        <f>MEDIAN(0.05,R76+MEDIAN(-0.302219,P76+NORMSINV(I76)*0.089531*Config!$B$3,0.274961),0.999)</f>
        <v/>
      </c>
      <c r="X76" s="6">
        <f>(INDEX('Earth curves'!$F$2:$F$46,MAX(1,MIN(44,IFERROR(MATCH(W76,'Earth curves'!$E$2:$E$46,1),1))))+(W76-INDEX('Earth curves'!$E$2:$E$46,MAX(1,MIN(44,IFERROR(MATCH(W76,'Earth curves'!$E$2:$E$46,1),1)))))*(INDEX('Earth curves'!$F$2:$F$46,MAX(1,MIN(44,IFERROR(MATCH(W76,'Earth curves'!$E$2:$E$46,1),1)))+1)-INDEX('Earth curves'!$F$2:$F$46,MAX(1,MIN(44,IFERROR(MATCH(W76,'Earth curves'!$E$2:$E$46,1),1)))))/(INDEX('Earth curves'!$E$2:$E$46,MAX(1,MIN(44,IFERROR(MATCH(W76,'Earth curves'!$E$2:$E$46,1),1)))+1)-INDEX('Earth curves'!$E$2:$E$46,MAX(1,MIN(44,IFERROR(MATCH(W76,'Earth curves'!$E$2:$E$46,1),1))))))</f>
        <v/>
      </c>
      <c r="Y76" s="6">
        <f>(INDEX('Earth curves'!$G$2:$G$46,MAX(1,MIN(44,IFERROR(MATCH(W76,'Earth curves'!$E$2:$E$46,1),1))))+(W76-INDEX('Earth curves'!$E$2:$E$46,MAX(1,MIN(44,IFERROR(MATCH(W76,'Earth curves'!$E$2:$E$46,1),1)))))*(INDEX('Earth curves'!$G$2:$G$46,MAX(1,MIN(44,IFERROR(MATCH(W76,'Earth curves'!$E$2:$E$46,1),1)))+1)-INDEX('Earth curves'!$G$2:$G$46,MAX(1,MIN(44,IFERROR(MATCH(W76,'Earth curves'!$E$2:$E$46,1),1)))))/(INDEX('Earth curves'!$E$2:$E$46,MAX(1,MIN(44,IFERROR(MATCH(W76,'Earth curves'!$E$2:$E$46,1),1)))+1)-INDEX('Earth curves'!$E$2:$E$46,MAX(1,MIN(44,IFERROR(MATCH(W76,'Earth curves'!$E$2:$E$46,1),1))))))</f>
        <v/>
      </c>
      <c r="Z76" s="6">
        <f>(MIN(X76/Config!$B$9,1)+MIN(Y76/Config!$B$10,1))/2</f>
        <v/>
      </c>
      <c r="AA76" s="10">
        <f>ROUND(MIN(22,MAX(3,X76*W76/Z76)),1)</f>
        <v/>
      </c>
      <c r="AB76" s="11" t="n"/>
      <c r="AC76" s="10">
        <f>IF(AB76="",AA76,AB76)</f>
        <v/>
      </c>
      <c r="AD76" s="10">
        <f>ROUND(MIN(Config!$B$10,MAX(1,Y76*W76/Z76)),1)</f>
        <v/>
      </c>
      <c r="AE76" s="11" t="n"/>
      <c r="AF76" s="10">
        <f>IF(AE76="",AD76,AE76)</f>
        <v/>
      </c>
      <c r="AG76" s="9">
        <f>(V76-Config!$B$7)/(Config!$B$8-Config!$B$7)</f>
        <v/>
      </c>
      <c r="AH76" s="9">
        <f>(MIN(AC76/Config!$B$9,1)+MIN(AF76/Config!$B$10,1))/2</f>
        <v/>
      </c>
      <c r="AI76" s="12">
        <f>ROUND((AG76*AH76*G76)^(1/3),3)</f>
        <v/>
      </c>
      <c r="AJ76" s="12" t="n">
        <v>0.908</v>
      </c>
      <c r="AK76" s="13">
        <f>AI76-AJ76</f>
        <v/>
      </c>
      <c r="AL76" s="13">
        <f>AK76-AVERAGE($AK$2:$AK$173)</f>
        <v/>
      </c>
      <c r="AM76" s="6">
        <f>IF(ABS(AL76)&gt;Config!$B$11,"REVIEW","")</f>
        <v/>
      </c>
      <c r="AN76" s="14">
        <f>RANK(AI76,$AI$2:$AI$173)</f>
        <v/>
      </c>
      <c r="AO76" s="14">
        <f>RANK(AJ76,$AJ$2:$AJ$173)</f>
        <v/>
      </c>
      <c r="AP76" s="14" t="n">
        <v>76</v>
      </c>
    </row>
    <row r="77">
      <c r="A77" s="6" t="inlineStr">
        <is>
          <t>Letan</t>
        </is>
      </c>
      <c r="B77" s="6" t="inlineStr">
        <is>
          <t>Quia</t>
        </is>
      </c>
      <c r="C77" s="6" t="inlineStr">
        <is>
          <t>microstate</t>
        </is>
      </c>
      <c r="D77" s="7" t="n">
        <v>12984</v>
      </c>
      <c r="E77" s="8">
        <f>D77*Config!$B$4</f>
        <v/>
      </c>
      <c r="F77" s="6">
        <f>LN(MAX(60,E77))</f>
        <v/>
      </c>
      <c r="G77" s="9">
        <f>MEDIAN(0,(F77-LN(Config!$B$5))/(LN(Config!$B$6)-LN(Config!$B$5)),1)</f>
        <v/>
      </c>
      <c r="H77" s="6">
        <f>MOD((Config!$B$2+$AP77*7919)*9301+49297,233280)/233280</f>
        <v/>
      </c>
      <c r="I77" s="6">
        <f>MOD((Config!$B$2+$AP77*104729)*4096+150889,714025)/714025</f>
        <v/>
      </c>
      <c r="J77" s="6">
        <f>MOD((Config!$B$2*31+$AP77*15485863)*1366+150889,714025)/714025</f>
        <v/>
      </c>
      <c r="K77" s="6" t="n"/>
      <c r="L77" s="6" t="n"/>
      <c r="M77" s="6">
        <f>COUNTIF(Siblings!$A$2:$A$84,B77)</f>
        <v/>
      </c>
      <c r="N77" s="6">
        <f>1+INT(J77*M77)</f>
        <v/>
      </c>
      <c r="O77" s="6">
        <f>IF(K77&lt;&gt;"",K77,IFERROR(INDEX(Siblings!$D$2:$D$84,MATCH(B77&amp;"|"&amp;N77,Siblings!$F$2:$F$84,0)),0))</f>
        <v/>
      </c>
      <c r="P77" s="6">
        <f>IF(L77&lt;&gt;"",L77,IFERROR(INDEX(Siblings!$E$2:$E$84,MATCH(B77&amp;"|"&amp;N77,Siblings!$F$2:$F$84,0)),0))</f>
        <v/>
      </c>
      <c r="Q77" s="6">
        <f>(INDEX('Earth curves'!$B$2:$B$46,MAX(1,MIN(44,IFERROR(MATCH(F77,'Earth curves'!$A$2:$A$46,1),1))))+(F77-INDEX('Earth curves'!$A$2:$A$46,MAX(1,MIN(44,IFERROR(MATCH(F77,'Earth curves'!$A$2:$A$46,1),1)))))*(INDEX('Earth curves'!$B$2:$B$46,MAX(1,MIN(44,IFERROR(MATCH(F77,'Earth curves'!$A$2:$A$46,1),1)))+1)-INDEX('Earth curves'!$B$2:$B$46,MAX(1,MIN(44,IFERROR(MATCH(F77,'Earth curves'!$A$2:$A$46,1),1)))))/(INDEX('Earth curves'!$A$2:$A$46,MAX(1,MIN(44,IFERROR(MATCH(F77,'Earth curves'!$A$2:$A$46,1),1)))+1)-INDEX('Earth curves'!$A$2:$A$46,MAX(1,MIN(44,IFERROR(MATCH(F77,'Earth curves'!$A$2:$A$46,1),1))))))</f>
        <v/>
      </c>
      <c r="R77" s="6">
        <f>(INDEX('Earth curves'!$C$2:$C$46,MAX(1,MIN(44,IFERROR(MATCH(F77,'Earth curves'!$A$2:$A$46,1),1))))+(F77-INDEX('Earth curves'!$A$2:$A$46,MAX(1,MIN(44,IFERROR(MATCH(F77,'Earth curves'!$A$2:$A$46,1),1)))))*(INDEX('Earth curves'!$C$2:$C$46,MAX(1,MIN(44,IFERROR(MATCH(F77,'Earth curves'!$A$2:$A$46,1),1)))+1)-INDEX('Earth curves'!$C$2:$C$46,MAX(1,MIN(44,IFERROR(MATCH(F77,'Earth curves'!$A$2:$A$46,1),1)))))/(INDEX('Earth curves'!$A$2:$A$46,MAX(1,MIN(44,IFERROR(MATCH(F77,'Earth curves'!$A$2:$A$46,1),1)))+1)-INDEX('Earth curves'!$A$2:$A$46,MAX(1,MIN(44,IFERROR(MATCH(F77,'Earth curves'!$A$2:$A$46,1),1))))))</f>
        <v/>
      </c>
      <c r="S77" s="6">
        <f>MEDIAN(0.307692,Q77+MEDIAN(-0.350583,O77+NORMSINV(H77)*0.064828*Config!$B$3,0.120277),0.993846)</f>
        <v/>
      </c>
      <c r="T77" s="10">
        <f>ROUND(Config!$B$7+(Config!$B$8-Config!$B$7)*S77,1)</f>
        <v/>
      </c>
      <c r="U77" s="11" t="n"/>
      <c r="V77" s="10">
        <f>IF(U77="",T77,U77)</f>
        <v/>
      </c>
      <c r="W77" s="6">
        <f>MEDIAN(0.05,R77+MEDIAN(-0.302219,P77+NORMSINV(I77)*0.089531*Config!$B$3,0.274961),0.999)</f>
        <v/>
      </c>
      <c r="X77" s="6">
        <f>(INDEX('Earth curves'!$F$2:$F$46,MAX(1,MIN(44,IFERROR(MATCH(W77,'Earth curves'!$E$2:$E$46,1),1))))+(W77-INDEX('Earth curves'!$E$2:$E$46,MAX(1,MIN(44,IFERROR(MATCH(W77,'Earth curves'!$E$2:$E$46,1),1)))))*(INDEX('Earth curves'!$F$2:$F$46,MAX(1,MIN(44,IFERROR(MATCH(W77,'Earth curves'!$E$2:$E$46,1),1)))+1)-INDEX('Earth curves'!$F$2:$F$46,MAX(1,MIN(44,IFERROR(MATCH(W77,'Earth curves'!$E$2:$E$46,1),1)))))/(INDEX('Earth curves'!$E$2:$E$46,MAX(1,MIN(44,IFERROR(MATCH(W77,'Earth curves'!$E$2:$E$46,1),1)))+1)-INDEX('Earth curves'!$E$2:$E$46,MAX(1,MIN(44,IFERROR(MATCH(W77,'Earth curves'!$E$2:$E$46,1),1))))))</f>
        <v/>
      </c>
      <c r="Y77" s="6">
        <f>(INDEX('Earth curves'!$G$2:$G$46,MAX(1,MIN(44,IFERROR(MATCH(W77,'Earth curves'!$E$2:$E$46,1),1))))+(W77-INDEX('Earth curves'!$E$2:$E$46,MAX(1,MIN(44,IFERROR(MATCH(W77,'Earth curves'!$E$2:$E$46,1),1)))))*(INDEX('Earth curves'!$G$2:$G$46,MAX(1,MIN(44,IFERROR(MATCH(W77,'Earth curves'!$E$2:$E$46,1),1)))+1)-INDEX('Earth curves'!$G$2:$G$46,MAX(1,MIN(44,IFERROR(MATCH(W77,'Earth curves'!$E$2:$E$46,1),1)))))/(INDEX('Earth curves'!$E$2:$E$46,MAX(1,MIN(44,IFERROR(MATCH(W77,'Earth curves'!$E$2:$E$46,1),1)))+1)-INDEX('Earth curves'!$E$2:$E$46,MAX(1,MIN(44,IFERROR(MATCH(W77,'Earth curves'!$E$2:$E$46,1),1))))))</f>
        <v/>
      </c>
      <c r="Z77" s="6">
        <f>(MIN(X77/Config!$B$9,1)+MIN(Y77/Config!$B$10,1))/2</f>
        <v/>
      </c>
      <c r="AA77" s="10">
        <f>ROUND(MIN(22,MAX(3,X77*W77/Z77)),1)</f>
        <v/>
      </c>
      <c r="AB77" s="11" t="n"/>
      <c r="AC77" s="10">
        <f>IF(AB77="",AA77,AB77)</f>
        <v/>
      </c>
      <c r="AD77" s="10">
        <f>ROUND(MIN(Config!$B$10,MAX(1,Y77*W77/Z77)),1)</f>
        <v/>
      </c>
      <c r="AE77" s="11" t="n"/>
      <c r="AF77" s="10">
        <f>IF(AE77="",AD77,AE77)</f>
        <v/>
      </c>
      <c r="AG77" s="9">
        <f>(V77-Config!$B$7)/(Config!$B$8-Config!$B$7)</f>
        <v/>
      </c>
      <c r="AH77" s="9">
        <f>(MIN(AC77/Config!$B$9,1)+MIN(AF77/Config!$B$10,1))/2</f>
        <v/>
      </c>
      <c r="AI77" s="12">
        <f>ROUND((AG77*AH77*G77)^(1/3),3)</f>
        <v/>
      </c>
      <c r="AJ77" s="12" t="n">
        <v>0.72</v>
      </c>
      <c r="AK77" s="13">
        <f>AI77-AJ77</f>
        <v/>
      </c>
      <c r="AL77" s="13">
        <f>AK77-AVERAGE($AK$2:$AK$173)</f>
        <v/>
      </c>
      <c r="AM77" s="6">
        <f>IF(ABS(AL77)&gt;Config!$B$11,"REVIEW","")</f>
        <v/>
      </c>
      <c r="AN77" s="14">
        <f>RANK(AI77,$AI$2:$AI$173)</f>
        <v/>
      </c>
      <c r="AO77" s="14">
        <f>RANK(AJ77,$AJ$2:$AJ$173)</f>
        <v/>
      </c>
      <c r="AP77" s="14" t="n">
        <v>77</v>
      </c>
    </row>
    <row r="78">
      <c r="A78" s="6" t="inlineStr">
        <is>
          <t>Lieri</t>
        </is>
      </c>
      <c r="B78" s="6" t="inlineStr">
        <is>
          <t>Mahea</t>
        </is>
      </c>
      <c r="C78" s="6" t="inlineStr">
        <is>
          <t>—</t>
        </is>
      </c>
      <c r="D78" s="7" t="n">
        <v>7429</v>
      </c>
      <c r="E78" s="8">
        <f>D78*Config!$B$4</f>
        <v/>
      </c>
      <c r="F78" s="6">
        <f>LN(MAX(60,E78))</f>
        <v/>
      </c>
      <c r="G78" s="9">
        <f>MEDIAN(0,(F78-LN(Config!$B$5))/(LN(Config!$B$6)-LN(Config!$B$5)),1)</f>
        <v/>
      </c>
      <c r="H78" s="6">
        <f>MOD((Config!$B$2+$AP78*7919)*9301+49297,233280)/233280</f>
        <v/>
      </c>
      <c r="I78" s="6">
        <f>MOD((Config!$B$2+$AP78*104729)*4096+150889,714025)/714025</f>
        <v/>
      </c>
      <c r="J78" s="6">
        <f>MOD((Config!$B$2*31+$AP78*15485863)*1366+150889,714025)/714025</f>
        <v/>
      </c>
      <c r="K78" s="6" t="n">
        <v>-0.001633</v>
      </c>
      <c r="L78" s="6" t="n">
        <v>0.053354</v>
      </c>
      <c r="M78" s="6">
        <f>COUNTIF(Siblings!$A$2:$A$84,B78)</f>
        <v/>
      </c>
      <c r="N78" s="6">
        <f>1+INT(J78*M78)</f>
        <v/>
      </c>
      <c r="O78" s="6">
        <f>IF(K78&lt;&gt;"",K78,IFERROR(INDEX(Siblings!$D$2:$D$84,MATCH(B78&amp;"|"&amp;N78,Siblings!$F$2:$F$84,0)),0))</f>
        <v/>
      </c>
      <c r="P78" s="6">
        <f>IF(L78&lt;&gt;"",L78,IFERROR(INDEX(Siblings!$E$2:$E$84,MATCH(B78&amp;"|"&amp;N78,Siblings!$F$2:$F$84,0)),0))</f>
        <v/>
      </c>
      <c r="Q78" s="6">
        <f>(INDEX('Earth curves'!$B$2:$B$46,MAX(1,MIN(44,IFERROR(MATCH(F78,'Earth curves'!$A$2:$A$46,1),1))))+(F78-INDEX('Earth curves'!$A$2:$A$46,MAX(1,MIN(44,IFERROR(MATCH(F78,'Earth curves'!$A$2:$A$46,1),1)))))*(INDEX('Earth curves'!$B$2:$B$46,MAX(1,MIN(44,IFERROR(MATCH(F78,'Earth curves'!$A$2:$A$46,1),1)))+1)-INDEX('Earth curves'!$B$2:$B$46,MAX(1,MIN(44,IFERROR(MATCH(F78,'Earth curves'!$A$2:$A$46,1),1)))))/(INDEX('Earth curves'!$A$2:$A$46,MAX(1,MIN(44,IFERROR(MATCH(F78,'Earth curves'!$A$2:$A$46,1),1)))+1)-INDEX('Earth curves'!$A$2:$A$46,MAX(1,MIN(44,IFERROR(MATCH(F78,'Earth curves'!$A$2:$A$46,1),1))))))</f>
        <v/>
      </c>
      <c r="R78" s="6">
        <f>(INDEX('Earth curves'!$C$2:$C$46,MAX(1,MIN(44,IFERROR(MATCH(F78,'Earth curves'!$A$2:$A$46,1),1))))+(F78-INDEX('Earth curves'!$A$2:$A$46,MAX(1,MIN(44,IFERROR(MATCH(F78,'Earth curves'!$A$2:$A$46,1),1)))))*(INDEX('Earth curves'!$C$2:$C$46,MAX(1,MIN(44,IFERROR(MATCH(F78,'Earth curves'!$A$2:$A$46,1),1)))+1)-INDEX('Earth curves'!$C$2:$C$46,MAX(1,MIN(44,IFERROR(MATCH(F78,'Earth curves'!$A$2:$A$46,1),1)))))/(INDEX('Earth curves'!$A$2:$A$46,MAX(1,MIN(44,IFERROR(MATCH(F78,'Earth curves'!$A$2:$A$46,1),1)))+1)-INDEX('Earth curves'!$A$2:$A$46,MAX(1,MIN(44,IFERROR(MATCH(F78,'Earth curves'!$A$2:$A$46,1),1))))))</f>
        <v/>
      </c>
      <c r="S78" s="6">
        <f>MEDIAN(0.307692,Q78+MEDIAN(-0.350583,O78+NORMSINV(H78)*0.064828*Config!$B$3,0.120277),0.993846)</f>
        <v/>
      </c>
      <c r="T78" s="10">
        <f>ROUND(Config!$B$7+(Config!$B$8-Config!$B$7)*S78,1)</f>
        <v/>
      </c>
      <c r="U78" s="11" t="n"/>
      <c r="V78" s="10">
        <f>IF(U78="",T78,U78)</f>
        <v/>
      </c>
      <c r="W78" s="6">
        <f>MEDIAN(0.05,R78+MEDIAN(-0.302219,P78+NORMSINV(I78)*0.089531*Config!$B$3,0.274961),0.999)</f>
        <v/>
      </c>
      <c r="X78" s="6">
        <f>(INDEX('Earth curves'!$F$2:$F$46,MAX(1,MIN(44,IFERROR(MATCH(W78,'Earth curves'!$E$2:$E$46,1),1))))+(W78-INDEX('Earth curves'!$E$2:$E$46,MAX(1,MIN(44,IFERROR(MATCH(W78,'Earth curves'!$E$2:$E$46,1),1)))))*(INDEX('Earth curves'!$F$2:$F$46,MAX(1,MIN(44,IFERROR(MATCH(W78,'Earth curves'!$E$2:$E$46,1),1)))+1)-INDEX('Earth curves'!$F$2:$F$46,MAX(1,MIN(44,IFERROR(MATCH(W78,'Earth curves'!$E$2:$E$46,1),1)))))/(INDEX('Earth curves'!$E$2:$E$46,MAX(1,MIN(44,IFERROR(MATCH(W78,'Earth curves'!$E$2:$E$46,1),1)))+1)-INDEX('Earth curves'!$E$2:$E$46,MAX(1,MIN(44,IFERROR(MATCH(W78,'Earth curves'!$E$2:$E$46,1),1))))))</f>
        <v/>
      </c>
      <c r="Y78" s="6">
        <f>(INDEX('Earth curves'!$G$2:$G$46,MAX(1,MIN(44,IFERROR(MATCH(W78,'Earth curves'!$E$2:$E$46,1),1))))+(W78-INDEX('Earth curves'!$E$2:$E$46,MAX(1,MIN(44,IFERROR(MATCH(W78,'Earth curves'!$E$2:$E$46,1),1)))))*(INDEX('Earth curves'!$G$2:$G$46,MAX(1,MIN(44,IFERROR(MATCH(W78,'Earth curves'!$E$2:$E$46,1),1)))+1)-INDEX('Earth curves'!$G$2:$G$46,MAX(1,MIN(44,IFERROR(MATCH(W78,'Earth curves'!$E$2:$E$46,1),1)))))/(INDEX('Earth curves'!$E$2:$E$46,MAX(1,MIN(44,IFERROR(MATCH(W78,'Earth curves'!$E$2:$E$46,1),1)))+1)-INDEX('Earth curves'!$E$2:$E$46,MAX(1,MIN(44,IFERROR(MATCH(W78,'Earth curves'!$E$2:$E$46,1),1))))))</f>
        <v/>
      </c>
      <c r="Z78" s="6">
        <f>(MIN(X78/Config!$B$9,1)+MIN(Y78/Config!$B$10,1))/2</f>
        <v/>
      </c>
      <c r="AA78" s="10">
        <f>ROUND(MIN(22,MAX(3,X78*W78/Z78)),1)</f>
        <v/>
      </c>
      <c r="AB78" s="11" t="n"/>
      <c r="AC78" s="10">
        <f>IF(AB78="",AA78,AB78)</f>
        <v/>
      </c>
      <c r="AD78" s="10">
        <f>ROUND(MIN(Config!$B$10,MAX(1,Y78*W78/Z78)),1)</f>
        <v/>
      </c>
      <c r="AE78" s="11" t="n"/>
      <c r="AF78" s="10">
        <f>IF(AE78="",AD78,AE78)</f>
        <v/>
      </c>
      <c r="AG78" s="9">
        <f>(V78-Config!$B$7)/(Config!$B$8-Config!$B$7)</f>
        <v/>
      </c>
      <c r="AH78" s="9">
        <f>(MIN(AC78/Config!$B$9,1)+MIN(AF78/Config!$B$10,1))/2</f>
        <v/>
      </c>
      <c r="AI78" s="12">
        <f>ROUND((AG78*AH78*G78)^(1/3),3)</f>
        <v/>
      </c>
      <c r="AJ78" s="12" t="n">
        <v>0.602</v>
      </c>
      <c r="AK78" s="13">
        <f>AI78-AJ78</f>
        <v/>
      </c>
      <c r="AL78" s="13">
        <f>AK78-AVERAGE($AK$2:$AK$173)</f>
        <v/>
      </c>
      <c r="AM78" s="6">
        <f>IF(ABS(AL78)&gt;Config!$B$11,"REVIEW","")</f>
        <v/>
      </c>
      <c r="AN78" s="14">
        <f>RANK(AI78,$AI$2:$AI$173)</f>
        <v/>
      </c>
      <c r="AO78" s="14">
        <f>RANK(AJ78,$AJ$2:$AJ$173)</f>
        <v/>
      </c>
      <c r="AP78" s="14" t="n">
        <v>78</v>
      </c>
    </row>
    <row r="79">
      <c r="A79" s="6" t="inlineStr">
        <is>
          <t>Lycroa</t>
        </is>
      </c>
      <c r="B79" s="6" t="inlineStr">
        <is>
          <t>Ayuma</t>
        </is>
      </c>
      <c r="C79" s="6" t="inlineStr">
        <is>
          <t>resource, university</t>
        </is>
      </c>
      <c r="D79" s="7" t="n">
        <v>165079</v>
      </c>
      <c r="E79" s="8">
        <f>D79*Config!$B$4</f>
        <v/>
      </c>
      <c r="F79" s="6">
        <f>LN(MAX(60,E79))</f>
        <v/>
      </c>
      <c r="G79" s="9">
        <f>MEDIAN(0,(F79-LN(Config!$B$5))/(LN(Config!$B$6)-LN(Config!$B$5)),1)</f>
        <v/>
      </c>
      <c r="H79" s="6">
        <f>MOD((Config!$B$2+$AP79*7919)*9301+49297,233280)/233280</f>
        <v/>
      </c>
      <c r="I79" s="6">
        <f>MOD((Config!$B$2+$AP79*104729)*4096+150889,714025)/714025</f>
        <v/>
      </c>
      <c r="J79" s="6">
        <f>MOD((Config!$B$2*31+$AP79*15485863)*1366+150889,714025)/714025</f>
        <v/>
      </c>
      <c r="K79" s="6" t="n"/>
      <c r="L79" s="6" t="n"/>
      <c r="M79" s="6">
        <f>COUNTIF(Siblings!$A$2:$A$84,B79)</f>
        <v/>
      </c>
      <c r="N79" s="6">
        <f>1+INT(J79*M79)</f>
        <v/>
      </c>
      <c r="O79" s="6">
        <f>IF(K79&lt;&gt;"",K79,IFERROR(INDEX(Siblings!$D$2:$D$84,MATCH(B79&amp;"|"&amp;N79,Siblings!$F$2:$F$84,0)),0))</f>
        <v/>
      </c>
      <c r="P79" s="6">
        <f>IF(L79&lt;&gt;"",L79,IFERROR(INDEX(Siblings!$E$2:$E$84,MATCH(B79&amp;"|"&amp;N79,Siblings!$F$2:$F$84,0)),0))</f>
        <v/>
      </c>
      <c r="Q79" s="6">
        <f>(INDEX('Earth curves'!$B$2:$B$46,MAX(1,MIN(44,IFERROR(MATCH(F79,'Earth curves'!$A$2:$A$46,1),1))))+(F79-INDEX('Earth curves'!$A$2:$A$46,MAX(1,MIN(44,IFERROR(MATCH(F79,'Earth curves'!$A$2:$A$46,1),1)))))*(INDEX('Earth curves'!$B$2:$B$46,MAX(1,MIN(44,IFERROR(MATCH(F79,'Earth curves'!$A$2:$A$46,1),1)))+1)-INDEX('Earth curves'!$B$2:$B$46,MAX(1,MIN(44,IFERROR(MATCH(F79,'Earth curves'!$A$2:$A$46,1),1)))))/(INDEX('Earth curves'!$A$2:$A$46,MAX(1,MIN(44,IFERROR(MATCH(F79,'Earth curves'!$A$2:$A$46,1),1)))+1)-INDEX('Earth curves'!$A$2:$A$46,MAX(1,MIN(44,IFERROR(MATCH(F79,'Earth curves'!$A$2:$A$46,1),1))))))</f>
        <v/>
      </c>
      <c r="R79" s="6">
        <f>(INDEX('Earth curves'!$C$2:$C$46,MAX(1,MIN(44,IFERROR(MATCH(F79,'Earth curves'!$A$2:$A$46,1),1))))+(F79-INDEX('Earth curves'!$A$2:$A$46,MAX(1,MIN(44,IFERROR(MATCH(F79,'Earth curves'!$A$2:$A$46,1),1)))))*(INDEX('Earth curves'!$C$2:$C$46,MAX(1,MIN(44,IFERROR(MATCH(F79,'Earth curves'!$A$2:$A$46,1),1)))+1)-INDEX('Earth curves'!$C$2:$C$46,MAX(1,MIN(44,IFERROR(MATCH(F79,'Earth curves'!$A$2:$A$46,1),1)))))/(INDEX('Earth curves'!$A$2:$A$46,MAX(1,MIN(44,IFERROR(MATCH(F79,'Earth curves'!$A$2:$A$46,1),1)))+1)-INDEX('Earth curves'!$A$2:$A$46,MAX(1,MIN(44,IFERROR(MATCH(F79,'Earth curves'!$A$2:$A$46,1),1))))))</f>
        <v/>
      </c>
      <c r="S79" s="6">
        <f>MEDIAN(0.307692,Q79+MEDIAN(-0.350583,O79+NORMSINV(H79)*0.064828*Config!$B$3,0.120277),0.993846)</f>
        <v/>
      </c>
      <c r="T79" s="10">
        <f>ROUND(Config!$B$7+(Config!$B$8-Config!$B$7)*S79,1)</f>
        <v/>
      </c>
      <c r="U79" s="11" t="n"/>
      <c r="V79" s="10">
        <f>IF(U79="",T79,U79)</f>
        <v/>
      </c>
      <c r="W79" s="6">
        <f>MEDIAN(0.05,R79+MEDIAN(-0.302219,P79+NORMSINV(I79)*0.089531*Config!$B$3,0.274961),0.999)</f>
        <v/>
      </c>
      <c r="X79" s="6">
        <f>(INDEX('Earth curves'!$F$2:$F$46,MAX(1,MIN(44,IFERROR(MATCH(W79,'Earth curves'!$E$2:$E$46,1),1))))+(W79-INDEX('Earth curves'!$E$2:$E$46,MAX(1,MIN(44,IFERROR(MATCH(W79,'Earth curves'!$E$2:$E$46,1),1)))))*(INDEX('Earth curves'!$F$2:$F$46,MAX(1,MIN(44,IFERROR(MATCH(W79,'Earth curves'!$E$2:$E$46,1),1)))+1)-INDEX('Earth curves'!$F$2:$F$46,MAX(1,MIN(44,IFERROR(MATCH(W79,'Earth curves'!$E$2:$E$46,1),1)))))/(INDEX('Earth curves'!$E$2:$E$46,MAX(1,MIN(44,IFERROR(MATCH(W79,'Earth curves'!$E$2:$E$46,1),1)))+1)-INDEX('Earth curves'!$E$2:$E$46,MAX(1,MIN(44,IFERROR(MATCH(W79,'Earth curves'!$E$2:$E$46,1),1))))))</f>
        <v/>
      </c>
      <c r="Y79" s="6">
        <f>(INDEX('Earth curves'!$G$2:$G$46,MAX(1,MIN(44,IFERROR(MATCH(W79,'Earth curves'!$E$2:$E$46,1),1))))+(W79-INDEX('Earth curves'!$E$2:$E$46,MAX(1,MIN(44,IFERROR(MATCH(W79,'Earth curves'!$E$2:$E$46,1),1)))))*(INDEX('Earth curves'!$G$2:$G$46,MAX(1,MIN(44,IFERROR(MATCH(W79,'Earth curves'!$E$2:$E$46,1),1)))+1)-INDEX('Earth curves'!$G$2:$G$46,MAX(1,MIN(44,IFERROR(MATCH(W79,'Earth curves'!$E$2:$E$46,1),1)))))/(INDEX('Earth curves'!$E$2:$E$46,MAX(1,MIN(44,IFERROR(MATCH(W79,'Earth curves'!$E$2:$E$46,1),1)))+1)-INDEX('Earth curves'!$E$2:$E$46,MAX(1,MIN(44,IFERROR(MATCH(W79,'Earth curves'!$E$2:$E$46,1),1))))))</f>
        <v/>
      </c>
      <c r="Z79" s="6">
        <f>(MIN(X79/Config!$B$9,1)+MIN(Y79/Config!$B$10,1))/2</f>
        <v/>
      </c>
      <c r="AA79" s="10">
        <f>ROUND(MIN(22,MAX(3,X79*W79/Z79)),1)</f>
        <v/>
      </c>
      <c r="AB79" s="11" t="n"/>
      <c r="AC79" s="10">
        <f>IF(AB79="",AA79,AB79)</f>
        <v/>
      </c>
      <c r="AD79" s="10">
        <f>ROUND(MIN(Config!$B$10,MAX(1,Y79*W79/Z79)),1)</f>
        <v/>
      </c>
      <c r="AE79" s="11" t="n"/>
      <c r="AF79" s="10">
        <f>IF(AE79="",AD79,AE79)</f>
        <v/>
      </c>
      <c r="AG79" s="9">
        <f>(V79-Config!$B$7)/(Config!$B$8-Config!$B$7)</f>
        <v/>
      </c>
      <c r="AH79" s="9">
        <f>(MIN(AC79/Config!$B$9,1)+MIN(AF79/Config!$B$10,1))/2</f>
        <v/>
      </c>
      <c r="AI79" s="12">
        <f>ROUND((AG79*AH79*G79)^(1/3),3)</f>
        <v/>
      </c>
      <c r="AJ79" s="12" t="n">
        <v>0.9389999999999999</v>
      </c>
      <c r="AK79" s="13">
        <f>AI79-AJ79</f>
        <v/>
      </c>
      <c r="AL79" s="13">
        <f>AK79-AVERAGE($AK$2:$AK$173)</f>
        <v/>
      </c>
      <c r="AM79" s="6">
        <f>IF(ABS(AL79)&gt;Config!$B$11,"REVIEW","")</f>
        <v/>
      </c>
      <c r="AN79" s="14">
        <f>RANK(AI79,$AI$2:$AI$173)</f>
        <v/>
      </c>
      <c r="AO79" s="14">
        <f>RANK(AJ79,$AJ$2:$AJ$173)</f>
        <v/>
      </c>
      <c r="AP79" s="14" t="n">
        <v>79</v>
      </c>
    </row>
    <row r="80">
      <c r="A80" s="6" t="inlineStr">
        <is>
          <t>Lydroa</t>
        </is>
      </c>
      <c r="B80" s="6" t="inlineStr">
        <is>
          <t>Ayuma</t>
        </is>
      </c>
      <c r="C80" s="6" t="inlineStr">
        <is>
          <t>resource</t>
        </is>
      </c>
      <c r="D80" s="7" t="n">
        <v>51746</v>
      </c>
      <c r="E80" s="8">
        <f>D80*Config!$B$4</f>
        <v/>
      </c>
      <c r="F80" s="6">
        <f>LN(MAX(60,E80))</f>
        <v/>
      </c>
      <c r="G80" s="9">
        <f>MEDIAN(0,(F80-LN(Config!$B$5))/(LN(Config!$B$6)-LN(Config!$B$5)),1)</f>
        <v/>
      </c>
      <c r="H80" s="6">
        <f>MOD((Config!$B$2+$AP80*7919)*9301+49297,233280)/233280</f>
        <v/>
      </c>
      <c r="I80" s="6">
        <f>MOD((Config!$B$2+$AP80*104729)*4096+150889,714025)/714025</f>
        <v/>
      </c>
      <c r="J80" s="6">
        <f>MOD((Config!$B$2*31+$AP80*15485863)*1366+150889,714025)/714025</f>
        <v/>
      </c>
      <c r="K80" s="6" t="n">
        <v>-0.018533</v>
      </c>
      <c r="L80" s="6" t="n">
        <v>0.056668</v>
      </c>
      <c r="M80" s="6">
        <f>COUNTIF(Siblings!$A$2:$A$84,B80)</f>
        <v/>
      </c>
      <c r="N80" s="6">
        <f>1+INT(J80*M80)</f>
        <v/>
      </c>
      <c r="O80" s="6">
        <f>IF(K80&lt;&gt;"",K80,IFERROR(INDEX(Siblings!$D$2:$D$84,MATCH(B80&amp;"|"&amp;N80,Siblings!$F$2:$F$84,0)),0))</f>
        <v/>
      </c>
      <c r="P80" s="6">
        <f>IF(L80&lt;&gt;"",L80,IFERROR(INDEX(Siblings!$E$2:$E$84,MATCH(B80&amp;"|"&amp;N80,Siblings!$F$2:$F$84,0)),0))</f>
        <v/>
      </c>
      <c r="Q80" s="6">
        <f>(INDEX('Earth curves'!$B$2:$B$46,MAX(1,MIN(44,IFERROR(MATCH(F80,'Earth curves'!$A$2:$A$46,1),1))))+(F80-INDEX('Earth curves'!$A$2:$A$46,MAX(1,MIN(44,IFERROR(MATCH(F80,'Earth curves'!$A$2:$A$46,1),1)))))*(INDEX('Earth curves'!$B$2:$B$46,MAX(1,MIN(44,IFERROR(MATCH(F80,'Earth curves'!$A$2:$A$46,1),1)))+1)-INDEX('Earth curves'!$B$2:$B$46,MAX(1,MIN(44,IFERROR(MATCH(F80,'Earth curves'!$A$2:$A$46,1),1)))))/(INDEX('Earth curves'!$A$2:$A$46,MAX(1,MIN(44,IFERROR(MATCH(F80,'Earth curves'!$A$2:$A$46,1),1)))+1)-INDEX('Earth curves'!$A$2:$A$46,MAX(1,MIN(44,IFERROR(MATCH(F80,'Earth curves'!$A$2:$A$46,1),1))))))</f>
        <v/>
      </c>
      <c r="R80" s="6">
        <f>(INDEX('Earth curves'!$C$2:$C$46,MAX(1,MIN(44,IFERROR(MATCH(F80,'Earth curves'!$A$2:$A$46,1),1))))+(F80-INDEX('Earth curves'!$A$2:$A$46,MAX(1,MIN(44,IFERROR(MATCH(F80,'Earth curves'!$A$2:$A$46,1),1)))))*(INDEX('Earth curves'!$C$2:$C$46,MAX(1,MIN(44,IFERROR(MATCH(F80,'Earth curves'!$A$2:$A$46,1),1)))+1)-INDEX('Earth curves'!$C$2:$C$46,MAX(1,MIN(44,IFERROR(MATCH(F80,'Earth curves'!$A$2:$A$46,1),1)))))/(INDEX('Earth curves'!$A$2:$A$46,MAX(1,MIN(44,IFERROR(MATCH(F80,'Earth curves'!$A$2:$A$46,1),1)))+1)-INDEX('Earth curves'!$A$2:$A$46,MAX(1,MIN(44,IFERROR(MATCH(F80,'Earth curves'!$A$2:$A$46,1),1))))))</f>
        <v/>
      </c>
      <c r="S80" s="6">
        <f>MEDIAN(0.307692,Q80+MEDIAN(-0.350583,O80+NORMSINV(H80)*0.064828*Config!$B$3,0.120277),0.993846)</f>
        <v/>
      </c>
      <c r="T80" s="10">
        <f>ROUND(Config!$B$7+(Config!$B$8-Config!$B$7)*S80,1)</f>
        <v/>
      </c>
      <c r="U80" s="11" t="n"/>
      <c r="V80" s="10">
        <f>IF(U80="",T80,U80)</f>
        <v/>
      </c>
      <c r="W80" s="6">
        <f>MEDIAN(0.05,R80+MEDIAN(-0.302219,P80+NORMSINV(I80)*0.089531*Config!$B$3,0.274961),0.999)</f>
        <v/>
      </c>
      <c r="X80" s="6">
        <f>(INDEX('Earth curves'!$F$2:$F$46,MAX(1,MIN(44,IFERROR(MATCH(W80,'Earth curves'!$E$2:$E$46,1),1))))+(W80-INDEX('Earth curves'!$E$2:$E$46,MAX(1,MIN(44,IFERROR(MATCH(W80,'Earth curves'!$E$2:$E$46,1),1)))))*(INDEX('Earth curves'!$F$2:$F$46,MAX(1,MIN(44,IFERROR(MATCH(W80,'Earth curves'!$E$2:$E$46,1),1)))+1)-INDEX('Earth curves'!$F$2:$F$46,MAX(1,MIN(44,IFERROR(MATCH(W80,'Earth curves'!$E$2:$E$46,1),1)))))/(INDEX('Earth curves'!$E$2:$E$46,MAX(1,MIN(44,IFERROR(MATCH(W80,'Earth curves'!$E$2:$E$46,1),1)))+1)-INDEX('Earth curves'!$E$2:$E$46,MAX(1,MIN(44,IFERROR(MATCH(W80,'Earth curves'!$E$2:$E$46,1),1))))))</f>
        <v/>
      </c>
      <c r="Y80" s="6">
        <f>(INDEX('Earth curves'!$G$2:$G$46,MAX(1,MIN(44,IFERROR(MATCH(W80,'Earth curves'!$E$2:$E$46,1),1))))+(W80-INDEX('Earth curves'!$E$2:$E$46,MAX(1,MIN(44,IFERROR(MATCH(W80,'Earth curves'!$E$2:$E$46,1),1)))))*(INDEX('Earth curves'!$G$2:$G$46,MAX(1,MIN(44,IFERROR(MATCH(W80,'Earth curves'!$E$2:$E$46,1),1)))+1)-INDEX('Earth curves'!$G$2:$G$46,MAX(1,MIN(44,IFERROR(MATCH(W80,'Earth curves'!$E$2:$E$46,1),1)))))/(INDEX('Earth curves'!$E$2:$E$46,MAX(1,MIN(44,IFERROR(MATCH(W80,'Earth curves'!$E$2:$E$46,1),1)))+1)-INDEX('Earth curves'!$E$2:$E$46,MAX(1,MIN(44,IFERROR(MATCH(W80,'Earth curves'!$E$2:$E$46,1),1))))))</f>
        <v/>
      </c>
      <c r="Z80" s="6">
        <f>(MIN(X80/Config!$B$9,1)+MIN(Y80/Config!$B$10,1))/2</f>
        <v/>
      </c>
      <c r="AA80" s="10">
        <f>ROUND(MIN(22,MAX(3,X80*W80/Z80)),1)</f>
        <v/>
      </c>
      <c r="AB80" s="11" t="n"/>
      <c r="AC80" s="10">
        <f>IF(AB80="",AA80,AB80)</f>
        <v/>
      </c>
      <c r="AD80" s="10">
        <f>ROUND(MIN(Config!$B$10,MAX(1,Y80*W80/Z80)),1)</f>
        <v/>
      </c>
      <c r="AE80" s="11" t="n"/>
      <c r="AF80" s="10">
        <f>IF(AE80="",AD80,AE80)</f>
        <v/>
      </c>
      <c r="AG80" s="9">
        <f>(V80-Config!$B$7)/(Config!$B$8-Config!$B$7)</f>
        <v/>
      </c>
      <c r="AH80" s="9">
        <f>(MIN(AC80/Config!$B$9,1)+MIN(AF80/Config!$B$10,1))/2</f>
        <v/>
      </c>
      <c r="AI80" s="12">
        <f>ROUND((AG80*AH80*G80)^(1/3),3)</f>
        <v/>
      </c>
      <c r="AJ80" s="12" t="n">
        <v>0.756</v>
      </c>
      <c r="AK80" s="13">
        <f>AI80-AJ80</f>
        <v/>
      </c>
      <c r="AL80" s="13">
        <f>AK80-AVERAGE($AK$2:$AK$173)</f>
        <v/>
      </c>
      <c r="AM80" s="6">
        <f>IF(ABS(AL80)&gt;Config!$B$11,"REVIEW","")</f>
        <v/>
      </c>
      <c r="AN80" s="14">
        <f>RANK(AI80,$AI$2:$AI$173)</f>
        <v/>
      </c>
      <c r="AO80" s="14">
        <f>RANK(AJ80,$AJ$2:$AJ$173)</f>
        <v/>
      </c>
      <c r="AP80" s="14" t="n">
        <v>80</v>
      </c>
    </row>
    <row r="81">
      <c r="A81" s="6" t="inlineStr">
        <is>
          <t>Maalle</t>
        </is>
      </c>
      <c r="B81" s="6" t="inlineStr">
        <is>
          <t>New Ayre</t>
        </is>
      </c>
      <c r="C81" s="6" t="inlineStr">
        <is>
          <t>resource</t>
        </is>
      </c>
      <c r="D81" s="7" t="n">
        <v>26032</v>
      </c>
      <c r="E81" s="8">
        <f>D81*Config!$B$4</f>
        <v/>
      </c>
      <c r="F81" s="6">
        <f>LN(MAX(60,E81))</f>
        <v/>
      </c>
      <c r="G81" s="9">
        <f>MEDIAN(0,(F81-LN(Config!$B$5))/(LN(Config!$B$6)-LN(Config!$B$5)),1)</f>
        <v/>
      </c>
      <c r="H81" s="6">
        <f>MOD((Config!$B$2+$AP81*7919)*9301+49297,233280)/233280</f>
        <v/>
      </c>
      <c r="I81" s="6">
        <f>MOD((Config!$B$2+$AP81*104729)*4096+150889,714025)/714025</f>
        <v/>
      </c>
      <c r="J81" s="6">
        <f>MOD((Config!$B$2*31+$AP81*15485863)*1366+150889,714025)/714025</f>
        <v/>
      </c>
      <c r="K81" s="6" t="n">
        <v>-0.028229</v>
      </c>
      <c r="L81" s="6" t="n">
        <v>0.09386799999999999</v>
      </c>
      <c r="M81" s="6">
        <f>COUNTIF(Siblings!$A$2:$A$84,B81)</f>
        <v/>
      </c>
      <c r="N81" s="6">
        <f>1+INT(J81*M81)</f>
        <v/>
      </c>
      <c r="O81" s="6">
        <f>IF(K81&lt;&gt;"",K81,IFERROR(INDEX(Siblings!$D$2:$D$84,MATCH(B81&amp;"|"&amp;N81,Siblings!$F$2:$F$84,0)),0))</f>
        <v/>
      </c>
      <c r="P81" s="6">
        <f>IF(L81&lt;&gt;"",L81,IFERROR(INDEX(Siblings!$E$2:$E$84,MATCH(B81&amp;"|"&amp;N81,Siblings!$F$2:$F$84,0)),0))</f>
        <v/>
      </c>
      <c r="Q81" s="6">
        <f>(INDEX('Earth curves'!$B$2:$B$46,MAX(1,MIN(44,IFERROR(MATCH(F81,'Earth curves'!$A$2:$A$46,1),1))))+(F81-INDEX('Earth curves'!$A$2:$A$46,MAX(1,MIN(44,IFERROR(MATCH(F81,'Earth curves'!$A$2:$A$46,1),1)))))*(INDEX('Earth curves'!$B$2:$B$46,MAX(1,MIN(44,IFERROR(MATCH(F81,'Earth curves'!$A$2:$A$46,1),1)))+1)-INDEX('Earth curves'!$B$2:$B$46,MAX(1,MIN(44,IFERROR(MATCH(F81,'Earth curves'!$A$2:$A$46,1),1)))))/(INDEX('Earth curves'!$A$2:$A$46,MAX(1,MIN(44,IFERROR(MATCH(F81,'Earth curves'!$A$2:$A$46,1),1)))+1)-INDEX('Earth curves'!$A$2:$A$46,MAX(1,MIN(44,IFERROR(MATCH(F81,'Earth curves'!$A$2:$A$46,1),1))))))</f>
        <v/>
      </c>
      <c r="R81" s="6">
        <f>(INDEX('Earth curves'!$C$2:$C$46,MAX(1,MIN(44,IFERROR(MATCH(F81,'Earth curves'!$A$2:$A$46,1),1))))+(F81-INDEX('Earth curves'!$A$2:$A$46,MAX(1,MIN(44,IFERROR(MATCH(F81,'Earth curves'!$A$2:$A$46,1),1)))))*(INDEX('Earth curves'!$C$2:$C$46,MAX(1,MIN(44,IFERROR(MATCH(F81,'Earth curves'!$A$2:$A$46,1),1)))+1)-INDEX('Earth curves'!$C$2:$C$46,MAX(1,MIN(44,IFERROR(MATCH(F81,'Earth curves'!$A$2:$A$46,1),1)))))/(INDEX('Earth curves'!$A$2:$A$46,MAX(1,MIN(44,IFERROR(MATCH(F81,'Earth curves'!$A$2:$A$46,1),1)))+1)-INDEX('Earth curves'!$A$2:$A$46,MAX(1,MIN(44,IFERROR(MATCH(F81,'Earth curves'!$A$2:$A$46,1),1))))))</f>
        <v/>
      </c>
      <c r="S81" s="6">
        <f>MEDIAN(0.307692,Q81+MEDIAN(-0.350583,O81+NORMSINV(H81)*0.064828*Config!$B$3,0.120277),0.993846)</f>
        <v/>
      </c>
      <c r="T81" s="10">
        <f>ROUND(Config!$B$7+(Config!$B$8-Config!$B$7)*S81,1)</f>
        <v/>
      </c>
      <c r="U81" s="11" t="n"/>
      <c r="V81" s="10">
        <f>IF(U81="",T81,U81)</f>
        <v/>
      </c>
      <c r="W81" s="6">
        <f>MEDIAN(0.05,R81+MEDIAN(-0.302219,P81+NORMSINV(I81)*0.089531*Config!$B$3,0.274961),0.999)</f>
        <v/>
      </c>
      <c r="X81" s="6">
        <f>(INDEX('Earth curves'!$F$2:$F$46,MAX(1,MIN(44,IFERROR(MATCH(W81,'Earth curves'!$E$2:$E$46,1),1))))+(W81-INDEX('Earth curves'!$E$2:$E$46,MAX(1,MIN(44,IFERROR(MATCH(W81,'Earth curves'!$E$2:$E$46,1),1)))))*(INDEX('Earth curves'!$F$2:$F$46,MAX(1,MIN(44,IFERROR(MATCH(W81,'Earth curves'!$E$2:$E$46,1),1)))+1)-INDEX('Earth curves'!$F$2:$F$46,MAX(1,MIN(44,IFERROR(MATCH(W81,'Earth curves'!$E$2:$E$46,1),1)))))/(INDEX('Earth curves'!$E$2:$E$46,MAX(1,MIN(44,IFERROR(MATCH(W81,'Earth curves'!$E$2:$E$46,1),1)))+1)-INDEX('Earth curves'!$E$2:$E$46,MAX(1,MIN(44,IFERROR(MATCH(W81,'Earth curves'!$E$2:$E$46,1),1))))))</f>
        <v/>
      </c>
      <c r="Y81" s="6">
        <f>(INDEX('Earth curves'!$G$2:$G$46,MAX(1,MIN(44,IFERROR(MATCH(W81,'Earth curves'!$E$2:$E$46,1),1))))+(W81-INDEX('Earth curves'!$E$2:$E$46,MAX(1,MIN(44,IFERROR(MATCH(W81,'Earth curves'!$E$2:$E$46,1),1)))))*(INDEX('Earth curves'!$G$2:$G$46,MAX(1,MIN(44,IFERROR(MATCH(W81,'Earth curves'!$E$2:$E$46,1),1)))+1)-INDEX('Earth curves'!$G$2:$G$46,MAX(1,MIN(44,IFERROR(MATCH(W81,'Earth curves'!$E$2:$E$46,1),1)))))/(INDEX('Earth curves'!$E$2:$E$46,MAX(1,MIN(44,IFERROR(MATCH(W81,'Earth curves'!$E$2:$E$46,1),1)))+1)-INDEX('Earth curves'!$E$2:$E$46,MAX(1,MIN(44,IFERROR(MATCH(W81,'Earth curves'!$E$2:$E$46,1),1))))))</f>
        <v/>
      </c>
      <c r="Z81" s="6">
        <f>(MIN(X81/Config!$B$9,1)+MIN(Y81/Config!$B$10,1))/2</f>
        <v/>
      </c>
      <c r="AA81" s="10">
        <f>ROUND(MIN(22,MAX(3,X81*W81/Z81)),1)</f>
        <v/>
      </c>
      <c r="AB81" s="11" t="n"/>
      <c r="AC81" s="10">
        <f>IF(AB81="",AA81,AB81)</f>
        <v/>
      </c>
      <c r="AD81" s="10">
        <f>ROUND(MIN(Config!$B$10,MAX(1,Y81*W81/Z81)),1)</f>
        <v/>
      </c>
      <c r="AE81" s="11" t="n"/>
      <c r="AF81" s="10">
        <f>IF(AE81="",AD81,AE81)</f>
        <v/>
      </c>
      <c r="AG81" s="9">
        <f>(V81-Config!$B$7)/(Config!$B$8-Config!$B$7)</f>
        <v/>
      </c>
      <c r="AH81" s="9">
        <f>(MIN(AC81/Config!$B$9,1)+MIN(AF81/Config!$B$10,1))/2</f>
        <v/>
      </c>
      <c r="AI81" s="12">
        <f>ROUND((AG81*AH81*G81)^(1/3),3)</f>
        <v/>
      </c>
      <c r="AJ81" s="12" t="n">
        <v>0.704</v>
      </c>
      <c r="AK81" s="13">
        <f>AI81-AJ81</f>
        <v/>
      </c>
      <c r="AL81" s="13">
        <f>AK81-AVERAGE($AK$2:$AK$173)</f>
        <v/>
      </c>
      <c r="AM81" s="6">
        <f>IF(ABS(AL81)&gt;Config!$B$11,"REVIEW","")</f>
        <v/>
      </c>
      <c r="AN81" s="14">
        <f>RANK(AI81,$AI$2:$AI$173)</f>
        <v/>
      </c>
      <c r="AO81" s="14">
        <f>RANK(AJ81,$AJ$2:$AJ$173)</f>
        <v/>
      </c>
      <c r="AP81" s="14" t="n">
        <v>81</v>
      </c>
    </row>
    <row r="82">
      <c r="A82" s="6" t="inlineStr">
        <is>
          <t>Mendereide</t>
        </is>
      </c>
      <c r="B82" s="6" t="inlineStr">
        <is>
          <t>New Ayre</t>
        </is>
      </c>
      <c r="C82" s="6" t="inlineStr">
        <is>
          <t>resource</t>
        </is>
      </c>
      <c r="D82" s="7" t="n">
        <v>50476</v>
      </c>
      <c r="E82" s="8">
        <f>D82*Config!$B$4</f>
        <v/>
      </c>
      <c r="F82" s="6">
        <f>LN(MAX(60,E82))</f>
        <v/>
      </c>
      <c r="G82" s="9">
        <f>MEDIAN(0,(F82-LN(Config!$B$5))/(LN(Config!$B$6)-LN(Config!$B$5)),1)</f>
        <v/>
      </c>
      <c r="H82" s="6">
        <f>MOD((Config!$B$2+$AP82*7919)*9301+49297,233280)/233280</f>
        <v/>
      </c>
      <c r="I82" s="6">
        <f>MOD((Config!$B$2+$AP82*104729)*4096+150889,714025)/714025</f>
        <v/>
      </c>
      <c r="J82" s="6">
        <f>MOD((Config!$B$2*31+$AP82*15485863)*1366+150889,714025)/714025</f>
        <v/>
      </c>
      <c r="K82" s="6" t="n">
        <v>-0.028229</v>
      </c>
      <c r="L82" s="6" t="n">
        <v>0.09386799999999999</v>
      </c>
      <c r="M82" s="6">
        <f>COUNTIF(Siblings!$A$2:$A$84,B82)</f>
        <v/>
      </c>
      <c r="N82" s="6">
        <f>1+INT(J82*M82)</f>
        <v/>
      </c>
      <c r="O82" s="6">
        <f>IF(K82&lt;&gt;"",K82,IFERROR(INDEX(Siblings!$D$2:$D$84,MATCH(B82&amp;"|"&amp;N82,Siblings!$F$2:$F$84,0)),0))</f>
        <v/>
      </c>
      <c r="P82" s="6">
        <f>IF(L82&lt;&gt;"",L82,IFERROR(INDEX(Siblings!$E$2:$E$84,MATCH(B82&amp;"|"&amp;N82,Siblings!$F$2:$F$84,0)),0))</f>
        <v/>
      </c>
      <c r="Q82" s="6">
        <f>(INDEX('Earth curves'!$B$2:$B$46,MAX(1,MIN(44,IFERROR(MATCH(F82,'Earth curves'!$A$2:$A$46,1),1))))+(F82-INDEX('Earth curves'!$A$2:$A$46,MAX(1,MIN(44,IFERROR(MATCH(F82,'Earth curves'!$A$2:$A$46,1),1)))))*(INDEX('Earth curves'!$B$2:$B$46,MAX(1,MIN(44,IFERROR(MATCH(F82,'Earth curves'!$A$2:$A$46,1),1)))+1)-INDEX('Earth curves'!$B$2:$B$46,MAX(1,MIN(44,IFERROR(MATCH(F82,'Earth curves'!$A$2:$A$46,1),1)))))/(INDEX('Earth curves'!$A$2:$A$46,MAX(1,MIN(44,IFERROR(MATCH(F82,'Earth curves'!$A$2:$A$46,1),1)))+1)-INDEX('Earth curves'!$A$2:$A$46,MAX(1,MIN(44,IFERROR(MATCH(F82,'Earth curves'!$A$2:$A$46,1),1))))))</f>
        <v/>
      </c>
      <c r="R82" s="6">
        <f>(INDEX('Earth curves'!$C$2:$C$46,MAX(1,MIN(44,IFERROR(MATCH(F82,'Earth curves'!$A$2:$A$46,1),1))))+(F82-INDEX('Earth curves'!$A$2:$A$46,MAX(1,MIN(44,IFERROR(MATCH(F82,'Earth curves'!$A$2:$A$46,1),1)))))*(INDEX('Earth curves'!$C$2:$C$46,MAX(1,MIN(44,IFERROR(MATCH(F82,'Earth curves'!$A$2:$A$46,1),1)))+1)-INDEX('Earth curves'!$C$2:$C$46,MAX(1,MIN(44,IFERROR(MATCH(F82,'Earth curves'!$A$2:$A$46,1),1)))))/(INDEX('Earth curves'!$A$2:$A$46,MAX(1,MIN(44,IFERROR(MATCH(F82,'Earth curves'!$A$2:$A$46,1),1)))+1)-INDEX('Earth curves'!$A$2:$A$46,MAX(1,MIN(44,IFERROR(MATCH(F82,'Earth curves'!$A$2:$A$46,1),1))))))</f>
        <v/>
      </c>
      <c r="S82" s="6">
        <f>MEDIAN(0.307692,Q82+MEDIAN(-0.350583,O82+NORMSINV(H82)*0.064828*Config!$B$3,0.120277),0.993846)</f>
        <v/>
      </c>
      <c r="T82" s="10">
        <f>ROUND(Config!$B$7+(Config!$B$8-Config!$B$7)*S82,1)</f>
        <v/>
      </c>
      <c r="U82" s="11" t="n"/>
      <c r="V82" s="10">
        <f>IF(U82="",T82,U82)</f>
        <v/>
      </c>
      <c r="W82" s="6">
        <f>MEDIAN(0.05,R82+MEDIAN(-0.302219,P82+NORMSINV(I82)*0.089531*Config!$B$3,0.274961),0.999)</f>
        <v/>
      </c>
      <c r="X82" s="6">
        <f>(INDEX('Earth curves'!$F$2:$F$46,MAX(1,MIN(44,IFERROR(MATCH(W82,'Earth curves'!$E$2:$E$46,1),1))))+(W82-INDEX('Earth curves'!$E$2:$E$46,MAX(1,MIN(44,IFERROR(MATCH(W82,'Earth curves'!$E$2:$E$46,1),1)))))*(INDEX('Earth curves'!$F$2:$F$46,MAX(1,MIN(44,IFERROR(MATCH(W82,'Earth curves'!$E$2:$E$46,1),1)))+1)-INDEX('Earth curves'!$F$2:$F$46,MAX(1,MIN(44,IFERROR(MATCH(W82,'Earth curves'!$E$2:$E$46,1),1)))))/(INDEX('Earth curves'!$E$2:$E$46,MAX(1,MIN(44,IFERROR(MATCH(W82,'Earth curves'!$E$2:$E$46,1),1)))+1)-INDEX('Earth curves'!$E$2:$E$46,MAX(1,MIN(44,IFERROR(MATCH(W82,'Earth curves'!$E$2:$E$46,1),1))))))</f>
        <v/>
      </c>
      <c r="Y82" s="6">
        <f>(INDEX('Earth curves'!$G$2:$G$46,MAX(1,MIN(44,IFERROR(MATCH(W82,'Earth curves'!$E$2:$E$46,1),1))))+(W82-INDEX('Earth curves'!$E$2:$E$46,MAX(1,MIN(44,IFERROR(MATCH(W82,'Earth curves'!$E$2:$E$46,1),1)))))*(INDEX('Earth curves'!$G$2:$G$46,MAX(1,MIN(44,IFERROR(MATCH(W82,'Earth curves'!$E$2:$E$46,1),1)))+1)-INDEX('Earth curves'!$G$2:$G$46,MAX(1,MIN(44,IFERROR(MATCH(W82,'Earth curves'!$E$2:$E$46,1),1)))))/(INDEX('Earth curves'!$E$2:$E$46,MAX(1,MIN(44,IFERROR(MATCH(W82,'Earth curves'!$E$2:$E$46,1),1)))+1)-INDEX('Earth curves'!$E$2:$E$46,MAX(1,MIN(44,IFERROR(MATCH(W82,'Earth curves'!$E$2:$E$46,1),1))))))</f>
        <v/>
      </c>
      <c r="Z82" s="6">
        <f>(MIN(X82/Config!$B$9,1)+MIN(Y82/Config!$B$10,1))/2</f>
        <v/>
      </c>
      <c r="AA82" s="10">
        <f>ROUND(MIN(22,MAX(3,X82*W82/Z82)),1)</f>
        <v/>
      </c>
      <c r="AB82" s="11" t="n"/>
      <c r="AC82" s="10">
        <f>IF(AB82="",AA82,AB82)</f>
        <v/>
      </c>
      <c r="AD82" s="10">
        <f>ROUND(MIN(Config!$B$10,MAX(1,Y82*W82/Z82)),1)</f>
        <v/>
      </c>
      <c r="AE82" s="11" t="n"/>
      <c r="AF82" s="10">
        <f>IF(AE82="",AD82,AE82)</f>
        <v/>
      </c>
      <c r="AG82" s="9">
        <f>(V82-Config!$B$7)/(Config!$B$8-Config!$B$7)</f>
        <v/>
      </c>
      <c r="AH82" s="9">
        <f>(MIN(AC82/Config!$B$9,1)+MIN(AF82/Config!$B$10,1))/2</f>
        <v/>
      </c>
      <c r="AI82" s="12">
        <f>ROUND((AG82*AH82*G82)^(1/3),3)</f>
        <v/>
      </c>
      <c r="AJ82" s="12" t="n">
        <v>0.805</v>
      </c>
      <c r="AK82" s="13">
        <f>AI82-AJ82</f>
        <v/>
      </c>
      <c r="AL82" s="13">
        <f>AK82-AVERAGE($AK$2:$AK$173)</f>
        <v/>
      </c>
      <c r="AM82" s="6">
        <f>IF(ABS(AL82)&gt;Config!$B$11,"REVIEW","")</f>
        <v/>
      </c>
      <c r="AN82" s="14">
        <f>RANK(AI82,$AI$2:$AI$173)</f>
        <v/>
      </c>
      <c r="AO82" s="14">
        <f>RANK(AJ82,$AJ$2:$AJ$173)</f>
        <v/>
      </c>
      <c r="AP82" s="14" t="n">
        <v>82</v>
      </c>
    </row>
    <row r="83">
      <c r="A83" s="6" t="inlineStr">
        <is>
          <t>Merela Sta</t>
        </is>
      </c>
      <c r="B83" s="6" t="inlineStr">
        <is>
          <t>Ayuma</t>
        </is>
      </c>
      <c r="C83" s="6" t="inlineStr">
        <is>
          <t>resource</t>
        </is>
      </c>
      <c r="D83" s="7" t="n">
        <v>113651</v>
      </c>
      <c r="E83" s="8">
        <f>D83*Config!$B$4</f>
        <v/>
      </c>
      <c r="F83" s="6">
        <f>LN(MAX(60,E83))</f>
        <v/>
      </c>
      <c r="G83" s="9">
        <f>MEDIAN(0,(F83-LN(Config!$B$5))/(LN(Config!$B$6)-LN(Config!$B$5)),1)</f>
        <v/>
      </c>
      <c r="H83" s="6">
        <f>MOD((Config!$B$2+$AP83*7919)*9301+49297,233280)/233280</f>
        <v/>
      </c>
      <c r="I83" s="6">
        <f>MOD((Config!$B$2+$AP83*104729)*4096+150889,714025)/714025</f>
        <v/>
      </c>
      <c r="J83" s="6">
        <f>MOD((Config!$B$2*31+$AP83*15485863)*1366+150889,714025)/714025</f>
        <v/>
      </c>
      <c r="K83" s="6" t="n">
        <v>0.042283</v>
      </c>
      <c r="L83" s="6" t="n">
        <v>-0.041733</v>
      </c>
      <c r="M83" s="6">
        <f>COUNTIF(Siblings!$A$2:$A$84,B83)</f>
        <v/>
      </c>
      <c r="N83" s="6">
        <f>1+INT(J83*M83)</f>
        <v/>
      </c>
      <c r="O83" s="6">
        <f>IF(K83&lt;&gt;"",K83,IFERROR(INDEX(Siblings!$D$2:$D$84,MATCH(B83&amp;"|"&amp;N83,Siblings!$F$2:$F$84,0)),0))</f>
        <v/>
      </c>
      <c r="P83" s="6">
        <f>IF(L83&lt;&gt;"",L83,IFERROR(INDEX(Siblings!$E$2:$E$84,MATCH(B83&amp;"|"&amp;N83,Siblings!$F$2:$F$84,0)),0))</f>
        <v/>
      </c>
      <c r="Q83" s="6">
        <f>(INDEX('Earth curves'!$B$2:$B$46,MAX(1,MIN(44,IFERROR(MATCH(F83,'Earth curves'!$A$2:$A$46,1),1))))+(F83-INDEX('Earth curves'!$A$2:$A$46,MAX(1,MIN(44,IFERROR(MATCH(F83,'Earth curves'!$A$2:$A$46,1),1)))))*(INDEX('Earth curves'!$B$2:$B$46,MAX(1,MIN(44,IFERROR(MATCH(F83,'Earth curves'!$A$2:$A$46,1),1)))+1)-INDEX('Earth curves'!$B$2:$B$46,MAX(1,MIN(44,IFERROR(MATCH(F83,'Earth curves'!$A$2:$A$46,1),1)))))/(INDEX('Earth curves'!$A$2:$A$46,MAX(1,MIN(44,IFERROR(MATCH(F83,'Earth curves'!$A$2:$A$46,1),1)))+1)-INDEX('Earth curves'!$A$2:$A$46,MAX(1,MIN(44,IFERROR(MATCH(F83,'Earth curves'!$A$2:$A$46,1),1))))))</f>
        <v/>
      </c>
      <c r="R83" s="6">
        <f>(INDEX('Earth curves'!$C$2:$C$46,MAX(1,MIN(44,IFERROR(MATCH(F83,'Earth curves'!$A$2:$A$46,1),1))))+(F83-INDEX('Earth curves'!$A$2:$A$46,MAX(1,MIN(44,IFERROR(MATCH(F83,'Earth curves'!$A$2:$A$46,1),1)))))*(INDEX('Earth curves'!$C$2:$C$46,MAX(1,MIN(44,IFERROR(MATCH(F83,'Earth curves'!$A$2:$A$46,1),1)))+1)-INDEX('Earth curves'!$C$2:$C$46,MAX(1,MIN(44,IFERROR(MATCH(F83,'Earth curves'!$A$2:$A$46,1),1)))))/(INDEX('Earth curves'!$A$2:$A$46,MAX(1,MIN(44,IFERROR(MATCH(F83,'Earth curves'!$A$2:$A$46,1),1)))+1)-INDEX('Earth curves'!$A$2:$A$46,MAX(1,MIN(44,IFERROR(MATCH(F83,'Earth curves'!$A$2:$A$46,1),1))))))</f>
        <v/>
      </c>
      <c r="S83" s="6">
        <f>MEDIAN(0.307692,Q83+MEDIAN(-0.350583,O83+NORMSINV(H83)*0.064828*Config!$B$3,0.120277),0.993846)</f>
        <v/>
      </c>
      <c r="T83" s="10">
        <f>ROUND(Config!$B$7+(Config!$B$8-Config!$B$7)*S83,1)</f>
        <v/>
      </c>
      <c r="U83" s="11" t="n"/>
      <c r="V83" s="10">
        <f>IF(U83="",T83,U83)</f>
        <v/>
      </c>
      <c r="W83" s="6">
        <f>MEDIAN(0.05,R83+MEDIAN(-0.302219,P83+NORMSINV(I83)*0.089531*Config!$B$3,0.274961),0.999)</f>
        <v/>
      </c>
      <c r="X83" s="6">
        <f>(INDEX('Earth curves'!$F$2:$F$46,MAX(1,MIN(44,IFERROR(MATCH(W83,'Earth curves'!$E$2:$E$46,1),1))))+(W83-INDEX('Earth curves'!$E$2:$E$46,MAX(1,MIN(44,IFERROR(MATCH(W83,'Earth curves'!$E$2:$E$46,1),1)))))*(INDEX('Earth curves'!$F$2:$F$46,MAX(1,MIN(44,IFERROR(MATCH(W83,'Earth curves'!$E$2:$E$46,1),1)))+1)-INDEX('Earth curves'!$F$2:$F$46,MAX(1,MIN(44,IFERROR(MATCH(W83,'Earth curves'!$E$2:$E$46,1),1)))))/(INDEX('Earth curves'!$E$2:$E$46,MAX(1,MIN(44,IFERROR(MATCH(W83,'Earth curves'!$E$2:$E$46,1),1)))+1)-INDEX('Earth curves'!$E$2:$E$46,MAX(1,MIN(44,IFERROR(MATCH(W83,'Earth curves'!$E$2:$E$46,1),1))))))</f>
        <v/>
      </c>
      <c r="Y83" s="6">
        <f>(INDEX('Earth curves'!$G$2:$G$46,MAX(1,MIN(44,IFERROR(MATCH(W83,'Earth curves'!$E$2:$E$46,1),1))))+(W83-INDEX('Earth curves'!$E$2:$E$46,MAX(1,MIN(44,IFERROR(MATCH(W83,'Earth curves'!$E$2:$E$46,1),1)))))*(INDEX('Earth curves'!$G$2:$G$46,MAX(1,MIN(44,IFERROR(MATCH(W83,'Earth curves'!$E$2:$E$46,1),1)))+1)-INDEX('Earth curves'!$G$2:$G$46,MAX(1,MIN(44,IFERROR(MATCH(W83,'Earth curves'!$E$2:$E$46,1),1)))))/(INDEX('Earth curves'!$E$2:$E$46,MAX(1,MIN(44,IFERROR(MATCH(W83,'Earth curves'!$E$2:$E$46,1),1)))+1)-INDEX('Earth curves'!$E$2:$E$46,MAX(1,MIN(44,IFERROR(MATCH(W83,'Earth curves'!$E$2:$E$46,1),1))))))</f>
        <v/>
      </c>
      <c r="Z83" s="6">
        <f>(MIN(X83/Config!$B$9,1)+MIN(Y83/Config!$B$10,1))/2</f>
        <v/>
      </c>
      <c r="AA83" s="10">
        <f>ROUND(MIN(22,MAX(3,X83*W83/Z83)),1)</f>
        <v/>
      </c>
      <c r="AB83" s="11" t="n"/>
      <c r="AC83" s="10">
        <f>IF(AB83="",AA83,AB83)</f>
        <v/>
      </c>
      <c r="AD83" s="10">
        <f>ROUND(MIN(Config!$B$10,MAX(1,Y83*W83/Z83)),1)</f>
        <v/>
      </c>
      <c r="AE83" s="11" t="n"/>
      <c r="AF83" s="10">
        <f>IF(AE83="",AD83,AE83)</f>
        <v/>
      </c>
      <c r="AG83" s="9">
        <f>(V83-Config!$B$7)/(Config!$B$8-Config!$B$7)</f>
        <v/>
      </c>
      <c r="AH83" s="9">
        <f>(MIN(AC83/Config!$B$9,1)+MIN(AF83/Config!$B$10,1))/2</f>
        <v/>
      </c>
      <c r="AI83" s="12">
        <f>ROUND((AG83*AH83*G83)^(1/3),3)</f>
        <v/>
      </c>
      <c r="AJ83" s="12" t="n">
        <v>0.929</v>
      </c>
      <c r="AK83" s="13">
        <f>AI83-AJ83</f>
        <v/>
      </c>
      <c r="AL83" s="13">
        <f>AK83-AVERAGE($AK$2:$AK$173)</f>
        <v/>
      </c>
      <c r="AM83" s="6">
        <f>IF(ABS(AL83)&gt;Config!$B$11,"REVIEW","")</f>
        <v/>
      </c>
      <c r="AN83" s="14">
        <f>RANK(AI83,$AI$2:$AI$173)</f>
        <v/>
      </c>
      <c r="AO83" s="14">
        <f>RANK(AJ83,$AJ$2:$AJ$173)</f>
        <v/>
      </c>
      <c r="AP83" s="14" t="n">
        <v>83</v>
      </c>
    </row>
    <row r="84">
      <c r="A84" s="6" t="inlineStr">
        <is>
          <t>Mesjan Hyaa</t>
        </is>
      </c>
      <c r="B84" s="6" t="inlineStr">
        <is>
          <t>Quia</t>
        </is>
      </c>
      <c r="C84" s="6" t="inlineStr">
        <is>
          <t>resource</t>
        </is>
      </c>
      <c r="D84" s="7" t="n">
        <v>187619</v>
      </c>
      <c r="E84" s="8">
        <f>D84*Config!$B$4</f>
        <v/>
      </c>
      <c r="F84" s="6">
        <f>LN(MAX(60,E84))</f>
        <v/>
      </c>
      <c r="G84" s="9">
        <f>MEDIAN(0,(F84-LN(Config!$B$5))/(LN(Config!$B$6)-LN(Config!$B$5)),1)</f>
        <v/>
      </c>
      <c r="H84" s="6">
        <f>MOD((Config!$B$2+$AP84*7919)*9301+49297,233280)/233280</f>
        <v/>
      </c>
      <c r="I84" s="6">
        <f>MOD((Config!$B$2+$AP84*104729)*4096+150889,714025)/714025</f>
        <v/>
      </c>
      <c r="J84" s="6">
        <f>MOD((Config!$B$2*31+$AP84*15485863)*1366+150889,714025)/714025</f>
        <v/>
      </c>
      <c r="K84" s="6" t="n"/>
      <c r="L84" s="6" t="n"/>
      <c r="M84" s="6">
        <f>COUNTIF(Siblings!$A$2:$A$84,B84)</f>
        <v/>
      </c>
      <c r="N84" s="6">
        <f>1+INT(J84*M84)</f>
        <v/>
      </c>
      <c r="O84" s="6">
        <f>IF(K84&lt;&gt;"",K84,IFERROR(INDEX(Siblings!$D$2:$D$84,MATCH(B84&amp;"|"&amp;N84,Siblings!$F$2:$F$84,0)),0))</f>
        <v/>
      </c>
      <c r="P84" s="6">
        <f>IF(L84&lt;&gt;"",L84,IFERROR(INDEX(Siblings!$E$2:$E$84,MATCH(B84&amp;"|"&amp;N84,Siblings!$F$2:$F$84,0)),0))</f>
        <v/>
      </c>
      <c r="Q84" s="6">
        <f>(INDEX('Earth curves'!$B$2:$B$46,MAX(1,MIN(44,IFERROR(MATCH(F84,'Earth curves'!$A$2:$A$46,1),1))))+(F84-INDEX('Earth curves'!$A$2:$A$46,MAX(1,MIN(44,IFERROR(MATCH(F84,'Earth curves'!$A$2:$A$46,1),1)))))*(INDEX('Earth curves'!$B$2:$B$46,MAX(1,MIN(44,IFERROR(MATCH(F84,'Earth curves'!$A$2:$A$46,1),1)))+1)-INDEX('Earth curves'!$B$2:$B$46,MAX(1,MIN(44,IFERROR(MATCH(F84,'Earth curves'!$A$2:$A$46,1),1)))))/(INDEX('Earth curves'!$A$2:$A$46,MAX(1,MIN(44,IFERROR(MATCH(F84,'Earth curves'!$A$2:$A$46,1),1)))+1)-INDEX('Earth curves'!$A$2:$A$46,MAX(1,MIN(44,IFERROR(MATCH(F84,'Earth curves'!$A$2:$A$46,1),1))))))</f>
        <v/>
      </c>
      <c r="R84" s="6">
        <f>(INDEX('Earth curves'!$C$2:$C$46,MAX(1,MIN(44,IFERROR(MATCH(F84,'Earth curves'!$A$2:$A$46,1),1))))+(F84-INDEX('Earth curves'!$A$2:$A$46,MAX(1,MIN(44,IFERROR(MATCH(F84,'Earth curves'!$A$2:$A$46,1),1)))))*(INDEX('Earth curves'!$C$2:$C$46,MAX(1,MIN(44,IFERROR(MATCH(F84,'Earth curves'!$A$2:$A$46,1),1)))+1)-INDEX('Earth curves'!$C$2:$C$46,MAX(1,MIN(44,IFERROR(MATCH(F84,'Earth curves'!$A$2:$A$46,1),1)))))/(INDEX('Earth curves'!$A$2:$A$46,MAX(1,MIN(44,IFERROR(MATCH(F84,'Earth curves'!$A$2:$A$46,1),1)))+1)-INDEX('Earth curves'!$A$2:$A$46,MAX(1,MIN(44,IFERROR(MATCH(F84,'Earth curves'!$A$2:$A$46,1),1))))))</f>
        <v/>
      </c>
      <c r="S84" s="6">
        <f>MEDIAN(0.307692,Q84+MEDIAN(-0.350583,O84+NORMSINV(H84)*0.064828*Config!$B$3,0.120277),0.993846)</f>
        <v/>
      </c>
      <c r="T84" s="10">
        <f>ROUND(Config!$B$7+(Config!$B$8-Config!$B$7)*S84,1)</f>
        <v/>
      </c>
      <c r="U84" s="11" t="n"/>
      <c r="V84" s="10">
        <f>IF(U84="",T84,U84)</f>
        <v/>
      </c>
      <c r="W84" s="6">
        <f>MEDIAN(0.05,R84+MEDIAN(-0.302219,P84+NORMSINV(I84)*0.089531*Config!$B$3,0.274961),0.999)</f>
        <v/>
      </c>
      <c r="X84" s="6">
        <f>(INDEX('Earth curves'!$F$2:$F$46,MAX(1,MIN(44,IFERROR(MATCH(W84,'Earth curves'!$E$2:$E$46,1),1))))+(W84-INDEX('Earth curves'!$E$2:$E$46,MAX(1,MIN(44,IFERROR(MATCH(W84,'Earth curves'!$E$2:$E$46,1),1)))))*(INDEX('Earth curves'!$F$2:$F$46,MAX(1,MIN(44,IFERROR(MATCH(W84,'Earth curves'!$E$2:$E$46,1),1)))+1)-INDEX('Earth curves'!$F$2:$F$46,MAX(1,MIN(44,IFERROR(MATCH(W84,'Earth curves'!$E$2:$E$46,1),1)))))/(INDEX('Earth curves'!$E$2:$E$46,MAX(1,MIN(44,IFERROR(MATCH(W84,'Earth curves'!$E$2:$E$46,1),1)))+1)-INDEX('Earth curves'!$E$2:$E$46,MAX(1,MIN(44,IFERROR(MATCH(W84,'Earth curves'!$E$2:$E$46,1),1))))))</f>
        <v/>
      </c>
      <c r="Y84" s="6">
        <f>(INDEX('Earth curves'!$G$2:$G$46,MAX(1,MIN(44,IFERROR(MATCH(W84,'Earth curves'!$E$2:$E$46,1),1))))+(W84-INDEX('Earth curves'!$E$2:$E$46,MAX(1,MIN(44,IFERROR(MATCH(W84,'Earth curves'!$E$2:$E$46,1),1)))))*(INDEX('Earth curves'!$G$2:$G$46,MAX(1,MIN(44,IFERROR(MATCH(W84,'Earth curves'!$E$2:$E$46,1),1)))+1)-INDEX('Earth curves'!$G$2:$G$46,MAX(1,MIN(44,IFERROR(MATCH(W84,'Earth curves'!$E$2:$E$46,1),1)))))/(INDEX('Earth curves'!$E$2:$E$46,MAX(1,MIN(44,IFERROR(MATCH(W84,'Earth curves'!$E$2:$E$46,1),1)))+1)-INDEX('Earth curves'!$E$2:$E$46,MAX(1,MIN(44,IFERROR(MATCH(W84,'Earth curves'!$E$2:$E$46,1),1))))))</f>
        <v/>
      </c>
      <c r="Z84" s="6">
        <f>(MIN(X84/Config!$B$9,1)+MIN(Y84/Config!$B$10,1))/2</f>
        <v/>
      </c>
      <c r="AA84" s="10">
        <f>ROUND(MIN(22,MAX(3,X84*W84/Z84)),1)</f>
        <v/>
      </c>
      <c r="AB84" s="11" t="n"/>
      <c r="AC84" s="10">
        <f>IF(AB84="",AA84,AB84)</f>
        <v/>
      </c>
      <c r="AD84" s="10">
        <f>ROUND(MIN(Config!$B$10,MAX(1,Y84*W84/Z84)),1)</f>
        <v/>
      </c>
      <c r="AE84" s="11" t="n"/>
      <c r="AF84" s="10">
        <f>IF(AE84="",AD84,AE84)</f>
        <v/>
      </c>
      <c r="AG84" s="9">
        <f>(V84-Config!$B$7)/(Config!$B$8-Config!$B$7)</f>
        <v/>
      </c>
      <c r="AH84" s="9">
        <f>(MIN(AC84/Config!$B$9,1)+MIN(AF84/Config!$B$10,1))/2</f>
        <v/>
      </c>
      <c r="AI84" s="12">
        <f>ROUND((AG84*AH84*G84)^(1/3),3)</f>
        <v/>
      </c>
      <c r="AJ84" s="12" t="n">
        <v>0.885</v>
      </c>
      <c r="AK84" s="13">
        <f>AI84-AJ84</f>
        <v/>
      </c>
      <c r="AL84" s="13">
        <f>AK84-AVERAGE($AK$2:$AK$173)</f>
        <v/>
      </c>
      <c r="AM84" s="6">
        <f>IF(ABS(AL84)&gt;Config!$B$11,"REVIEW","")</f>
        <v/>
      </c>
      <c r="AN84" s="14">
        <f>RANK(AI84,$AI$2:$AI$173)</f>
        <v/>
      </c>
      <c r="AO84" s="14">
        <f>RANK(AJ84,$AJ$2:$AJ$173)</f>
        <v/>
      </c>
      <c r="AP84" s="14" t="n">
        <v>84</v>
      </c>
    </row>
    <row r="85">
      <c r="A85" s="6" t="inlineStr">
        <is>
          <t>Metndria</t>
        </is>
      </c>
      <c r="B85" s="6" t="inlineStr">
        <is>
          <t>Atirha</t>
        </is>
      </c>
      <c r="C85" s="6" t="inlineStr">
        <is>
          <t>—</t>
        </is>
      </c>
      <c r="D85" s="7" t="n">
        <v>35556</v>
      </c>
      <c r="E85" s="8">
        <f>D85*Config!$B$4</f>
        <v/>
      </c>
      <c r="F85" s="6">
        <f>LN(MAX(60,E85))</f>
        <v/>
      </c>
      <c r="G85" s="9">
        <f>MEDIAN(0,(F85-LN(Config!$B$5))/(LN(Config!$B$6)-LN(Config!$B$5)),1)</f>
        <v/>
      </c>
      <c r="H85" s="6">
        <f>MOD((Config!$B$2+$AP85*7919)*9301+49297,233280)/233280</f>
        <v/>
      </c>
      <c r="I85" s="6">
        <f>MOD((Config!$B$2+$AP85*104729)*4096+150889,714025)/714025</f>
        <v/>
      </c>
      <c r="J85" s="6">
        <f>MOD((Config!$B$2*31+$AP85*15485863)*1366+150889,714025)/714025</f>
        <v/>
      </c>
      <c r="K85" s="6" t="n"/>
      <c r="L85" s="6" t="n"/>
      <c r="M85" s="6">
        <f>COUNTIF(Siblings!$A$2:$A$84,B85)</f>
        <v/>
      </c>
      <c r="N85" s="6">
        <f>1+INT(J85*M85)</f>
        <v/>
      </c>
      <c r="O85" s="6">
        <f>IF(K85&lt;&gt;"",K85,IFERROR(INDEX(Siblings!$D$2:$D$84,MATCH(B85&amp;"|"&amp;N85,Siblings!$F$2:$F$84,0)),0))</f>
        <v/>
      </c>
      <c r="P85" s="6">
        <f>IF(L85&lt;&gt;"",L85,IFERROR(INDEX(Siblings!$E$2:$E$84,MATCH(B85&amp;"|"&amp;N85,Siblings!$F$2:$F$84,0)),0))</f>
        <v/>
      </c>
      <c r="Q85" s="6">
        <f>(INDEX('Earth curves'!$B$2:$B$46,MAX(1,MIN(44,IFERROR(MATCH(F85,'Earth curves'!$A$2:$A$46,1),1))))+(F85-INDEX('Earth curves'!$A$2:$A$46,MAX(1,MIN(44,IFERROR(MATCH(F85,'Earth curves'!$A$2:$A$46,1),1)))))*(INDEX('Earth curves'!$B$2:$B$46,MAX(1,MIN(44,IFERROR(MATCH(F85,'Earth curves'!$A$2:$A$46,1),1)))+1)-INDEX('Earth curves'!$B$2:$B$46,MAX(1,MIN(44,IFERROR(MATCH(F85,'Earth curves'!$A$2:$A$46,1),1)))))/(INDEX('Earth curves'!$A$2:$A$46,MAX(1,MIN(44,IFERROR(MATCH(F85,'Earth curves'!$A$2:$A$46,1),1)))+1)-INDEX('Earth curves'!$A$2:$A$46,MAX(1,MIN(44,IFERROR(MATCH(F85,'Earth curves'!$A$2:$A$46,1),1))))))</f>
        <v/>
      </c>
      <c r="R85" s="6">
        <f>(INDEX('Earth curves'!$C$2:$C$46,MAX(1,MIN(44,IFERROR(MATCH(F85,'Earth curves'!$A$2:$A$46,1),1))))+(F85-INDEX('Earth curves'!$A$2:$A$46,MAX(1,MIN(44,IFERROR(MATCH(F85,'Earth curves'!$A$2:$A$46,1),1)))))*(INDEX('Earth curves'!$C$2:$C$46,MAX(1,MIN(44,IFERROR(MATCH(F85,'Earth curves'!$A$2:$A$46,1),1)))+1)-INDEX('Earth curves'!$C$2:$C$46,MAX(1,MIN(44,IFERROR(MATCH(F85,'Earth curves'!$A$2:$A$46,1),1)))))/(INDEX('Earth curves'!$A$2:$A$46,MAX(1,MIN(44,IFERROR(MATCH(F85,'Earth curves'!$A$2:$A$46,1),1)))+1)-INDEX('Earth curves'!$A$2:$A$46,MAX(1,MIN(44,IFERROR(MATCH(F85,'Earth curves'!$A$2:$A$46,1),1))))))</f>
        <v/>
      </c>
      <c r="S85" s="6">
        <f>MEDIAN(0.307692,Q85+MEDIAN(-0.350583,O85+NORMSINV(H85)*0.064828*Config!$B$3,0.120277),0.993846)</f>
        <v/>
      </c>
      <c r="T85" s="10">
        <f>ROUND(Config!$B$7+(Config!$B$8-Config!$B$7)*S85,1)</f>
        <v/>
      </c>
      <c r="U85" s="11" t="n"/>
      <c r="V85" s="10">
        <f>IF(U85="",T85,U85)</f>
        <v/>
      </c>
      <c r="W85" s="6">
        <f>MEDIAN(0.05,R85+MEDIAN(-0.302219,P85+NORMSINV(I85)*0.089531*Config!$B$3,0.274961),0.999)</f>
        <v/>
      </c>
      <c r="X85" s="6">
        <f>(INDEX('Earth curves'!$F$2:$F$46,MAX(1,MIN(44,IFERROR(MATCH(W85,'Earth curves'!$E$2:$E$46,1),1))))+(W85-INDEX('Earth curves'!$E$2:$E$46,MAX(1,MIN(44,IFERROR(MATCH(W85,'Earth curves'!$E$2:$E$46,1),1)))))*(INDEX('Earth curves'!$F$2:$F$46,MAX(1,MIN(44,IFERROR(MATCH(W85,'Earth curves'!$E$2:$E$46,1),1)))+1)-INDEX('Earth curves'!$F$2:$F$46,MAX(1,MIN(44,IFERROR(MATCH(W85,'Earth curves'!$E$2:$E$46,1),1)))))/(INDEX('Earth curves'!$E$2:$E$46,MAX(1,MIN(44,IFERROR(MATCH(W85,'Earth curves'!$E$2:$E$46,1),1)))+1)-INDEX('Earth curves'!$E$2:$E$46,MAX(1,MIN(44,IFERROR(MATCH(W85,'Earth curves'!$E$2:$E$46,1),1))))))</f>
        <v/>
      </c>
      <c r="Y85" s="6">
        <f>(INDEX('Earth curves'!$G$2:$G$46,MAX(1,MIN(44,IFERROR(MATCH(W85,'Earth curves'!$E$2:$E$46,1),1))))+(W85-INDEX('Earth curves'!$E$2:$E$46,MAX(1,MIN(44,IFERROR(MATCH(W85,'Earth curves'!$E$2:$E$46,1),1)))))*(INDEX('Earth curves'!$G$2:$G$46,MAX(1,MIN(44,IFERROR(MATCH(W85,'Earth curves'!$E$2:$E$46,1),1)))+1)-INDEX('Earth curves'!$G$2:$G$46,MAX(1,MIN(44,IFERROR(MATCH(W85,'Earth curves'!$E$2:$E$46,1),1)))))/(INDEX('Earth curves'!$E$2:$E$46,MAX(1,MIN(44,IFERROR(MATCH(W85,'Earth curves'!$E$2:$E$46,1),1)))+1)-INDEX('Earth curves'!$E$2:$E$46,MAX(1,MIN(44,IFERROR(MATCH(W85,'Earth curves'!$E$2:$E$46,1),1))))))</f>
        <v/>
      </c>
      <c r="Z85" s="6">
        <f>(MIN(X85/Config!$B$9,1)+MIN(Y85/Config!$B$10,1))/2</f>
        <v/>
      </c>
      <c r="AA85" s="10">
        <f>ROUND(MIN(22,MAX(3,X85*W85/Z85)),1)</f>
        <v/>
      </c>
      <c r="AB85" s="11" t="n"/>
      <c r="AC85" s="10">
        <f>IF(AB85="",AA85,AB85)</f>
        <v/>
      </c>
      <c r="AD85" s="10">
        <f>ROUND(MIN(Config!$B$10,MAX(1,Y85*W85/Z85)),1)</f>
        <v/>
      </c>
      <c r="AE85" s="11" t="n"/>
      <c r="AF85" s="10">
        <f>IF(AE85="",AD85,AE85)</f>
        <v/>
      </c>
      <c r="AG85" s="9">
        <f>(V85-Config!$B$7)/(Config!$B$8-Config!$B$7)</f>
        <v/>
      </c>
      <c r="AH85" s="9">
        <f>(MIN(AC85/Config!$B$9,1)+MIN(AF85/Config!$B$10,1))/2</f>
        <v/>
      </c>
      <c r="AI85" s="12">
        <f>ROUND((AG85*AH85*G85)^(1/3),3)</f>
        <v/>
      </c>
      <c r="AJ85" s="12" t="n">
        <v>0.774</v>
      </c>
      <c r="AK85" s="13">
        <f>AI85-AJ85</f>
        <v/>
      </c>
      <c r="AL85" s="13">
        <f>AK85-AVERAGE($AK$2:$AK$173)</f>
        <v/>
      </c>
      <c r="AM85" s="6">
        <f>IF(ABS(AL85)&gt;Config!$B$11,"REVIEW","")</f>
        <v/>
      </c>
      <c r="AN85" s="14">
        <f>RANK(AI85,$AI$2:$AI$173)</f>
        <v/>
      </c>
      <c r="AO85" s="14">
        <f>RANK(AJ85,$AJ$2:$AJ$173)</f>
        <v/>
      </c>
      <c r="AP85" s="14" t="n">
        <v>85</v>
      </c>
    </row>
    <row r="86">
      <c r="A86" s="6" t="inlineStr">
        <is>
          <t>Migoku</t>
        </is>
      </c>
      <c r="B86" s="6" t="inlineStr">
        <is>
          <t>Massir</t>
        </is>
      </c>
      <c r="C86" s="6" t="inlineStr">
        <is>
          <t>resource</t>
        </is>
      </c>
      <c r="D86" s="7" t="n">
        <v>2476</v>
      </c>
      <c r="E86" s="8">
        <f>D86*Config!$B$4</f>
        <v/>
      </c>
      <c r="F86" s="6">
        <f>LN(MAX(60,E86))</f>
        <v/>
      </c>
      <c r="G86" s="9">
        <f>MEDIAN(0,(F86-LN(Config!$B$5))/(LN(Config!$B$6)-LN(Config!$B$5)),1)</f>
        <v/>
      </c>
      <c r="H86" s="6">
        <f>MOD((Config!$B$2+$AP86*7919)*9301+49297,233280)/233280</f>
        <v/>
      </c>
      <c r="I86" s="6">
        <f>MOD((Config!$B$2+$AP86*104729)*4096+150889,714025)/714025</f>
        <v/>
      </c>
      <c r="J86" s="6">
        <f>MOD((Config!$B$2*31+$AP86*15485863)*1366+150889,714025)/714025</f>
        <v/>
      </c>
      <c r="K86" s="6" t="n"/>
      <c r="L86" s="6" t="n"/>
      <c r="M86" s="6">
        <f>COUNTIF(Siblings!$A$2:$A$84,B86)</f>
        <v/>
      </c>
      <c r="N86" s="6">
        <f>1+INT(J86*M86)</f>
        <v/>
      </c>
      <c r="O86" s="6">
        <f>IF(K86&lt;&gt;"",K86,IFERROR(INDEX(Siblings!$D$2:$D$84,MATCH(B86&amp;"|"&amp;N86,Siblings!$F$2:$F$84,0)),0))</f>
        <v/>
      </c>
      <c r="P86" s="6">
        <f>IF(L86&lt;&gt;"",L86,IFERROR(INDEX(Siblings!$E$2:$E$84,MATCH(B86&amp;"|"&amp;N86,Siblings!$F$2:$F$84,0)),0))</f>
        <v/>
      </c>
      <c r="Q86" s="6">
        <f>(INDEX('Earth curves'!$B$2:$B$46,MAX(1,MIN(44,IFERROR(MATCH(F86,'Earth curves'!$A$2:$A$46,1),1))))+(F86-INDEX('Earth curves'!$A$2:$A$46,MAX(1,MIN(44,IFERROR(MATCH(F86,'Earth curves'!$A$2:$A$46,1),1)))))*(INDEX('Earth curves'!$B$2:$B$46,MAX(1,MIN(44,IFERROR(MATCH(F86,'Earth curves'!$A$2:$A$46,1),1)))+1)-INDEX('Earth curves'!$B$2:$B$46,MAX(1,MIN(44,IFERROR(MATCH(F86,'Earth curves'!$A$2:$A$46,1),1)))))/(INDEX('Earth curves'!$A$2:$A$46,MAX(1,MIN(44,IFERROR(MATCH(F86,'Earth curves'!$A$2:$A$46,1),1)))+1)-INDEX('Earth curves'!$A$2:$A$46,MAX(1,MIN(44,IFERROR(MATCH(F86,'Earth curves'!$A$2:$A$46,1),1))))))</f>
        <v/>
      </c>
      <c r="R86" s="6">
        <f>(INDEX('Earth curves'!$C$2:$C$46,MAX(1,MIN(44,IFERROR(MATCH(F86,'Earth curves'!$A$2:$A$46,1),1))))+(F86-INDEX('Earth curves'!$A$2:$A$46,MAX(1,MIN(44,IFERROR(MATCH(F86,'Earth curves'!$A$2:$A$46,1),1)))))*(INDEX('Earth curves'!$C$2:$C$46,MAX(1,MIN(44,IFERROR(MATCH(F86,'Earth curves'!$A$2:$A$46,1),1)))+1)-INDEX('Earth curves'!$C$2:$C$46,MAX(1,MIN(44,IFERROR(MATCH(F86,'Earth curves'!$A$2:$A$46,1),1)))))/(INDEX('Earth curves'!$A$2:$A$46,MAX(1,MIN(44,IFERROR(MATCH(F86,'Earth curves'!$A$2:$A$46,1),1)))+1)-INDEX('Earth curves'!$A$2:$A$46,MAX(1,MIN(44,IFERROR(MATCH(F86,'Earth curves'!$A$2:$A$46,1),1))))))</f>
        <v/>
      </c>
      <c r="S86" s="6">
        <f>MEDIAN(0.307692,Q86+MEDIAN(-0.350583,O86+NORMSINV(H86)*0.064828*Config!$B$3,0.120277),0.993846)</f>
        <v/>
      </c>
      <c r="T86" s="10">
        <f>ROUND(Config!$B$7+(Config!$B$8-Config!$B$7)*S86,1)</f>
        <v/>
      </c>
      <c r="U86" s="11" t="n"/>
      <c r="V86" s="10">
        <f>IF(U86="",T86,U86)</f>
        <v/>
      </c>
      <c r="W86" s="6">
        <f>MEDIAN(0.05,R86+MEDIAN(-0.302219,P86+NORMSINV(I86)*0.089531*Config!$B$3,0.274961),0.999)</f>
        <v/>
      </c>
      <c r="X86" s="6">
        <f>(INDEX('Earth curves'!$F$2:$F$46,MAX(1,MIN(44,IFERROR(MATCH(W86,'Earth curves'!$E$2:$E$46,1),1))))+(W86-INDEX('Earth curves'!$E$2:$E$46,MAX(1,MIN(44,IFERROR(MATCH(W86,'Earth curves'!$E$2:$E$46,1),1)))))*(INDEX('Earth curves'!$F$2:$F$46,MAX(1,MIN(44,IFERROR(MATCH(W86,'Earth curves'!$E$2:$E$46,1),1)))+1)-INDEX('Earth curves'!$F$2:$F$46,MAX(1,MIN(44,IFERROR(MATCH(W86,'Earth curves'!$E$2:$E$46,1),1)))))/(INDEX('Earth curves'!$E$2:$E$46,MAX(1,MIN(44,IFERROR(MATCH(W86,'Earth curves'!$E$2:$E$46,1),1)))+1)-INDEX('Earth curves'!$E$2:$E$46,MAX(1,MIN(44,IFERROR(MATCH(W86,'Earth curves'!$E$2:$E$46,1),1))))))</f>
        <v/>
      </c>
      <c r="Y86" s="6">
        <f>(INDEX('Earth curves'!$G$2:$G$46,MAX(1,MIN(44,IFERROR(MATCH(W86,'Earth curves'!$E$2:$E$46,1),1))))+(W86-INDEX('Earth curves'!$E$2:$E$46,MAX(1,MIN(44,IFERROR(MATCH(W86,'Earth curves'!$E$2:$E$46,1),1)))))*(INDEX('Earth curves'!$G$2:$G$46,MAX(1,MIN(44,IFERROR(MATCH(W86,'Earth curves'!$E$2:$E$46,1),1)))+1)-INDEX('Earth curves'!$G$2:$G$46,MAX(1,MIN(44,IFERROR(MATCH(W86,'Earth curves'!$E$2:$E$46,1),1)))))/(INDEX('Earth curves'!$E$2:$E$46,MAX(1,MIN(44,IFERROR(MATCH(W86,'Earth curves'!$E$2:$E$46,1),1)))+1)-INDEX('Earth curves'!$E$2:$E$46,MAX(1,MIN(44,IFERROR(MATCH(W86,'Earth curves'!$E$2:$E$46,1),1))))))</f>
        <v/>
      </c>
      <c r="Z86" s="6">
        <f>(MIN(X86/Config!$B$9,1)+MIN(Y86/Config!$B$10,1))/2</f>
        <v/>
      </c>
      <c r="AA86" s="10">
        <f>ROUND(MIN(22,MAX(3,X86*W86/Z86)),1)</f>
        <v/>
      </c>
      <c r="AB86" s="11" t="n"/>
      <c r="AC86" s="10">
        <f>IF(AB86="",AA86,AB86)</f>
        <v/>
      </c>
      <c r="AD86" s="10">
        <f>ROUND(MIN(Config!$B$10,MAX(1,Y86*W86/Z86)),1)</f>
        <v/>
      </c>
      <c r="AE86" s="11" t="n"/>
      <c r="AF86" s="10">
        <f>IF(AE86="",AD86,AE86)</f>
        <v/>
      </c>
      <c r="AG86" s="9">
        <f>(V86-Config!$B$7)/(Config!$B$8-Config!$B$7)</f>
        <v/>
      </c>
      <c r="AH86" s="9">
        <f>(MIN(AC86/Config!$B$9,1)+MIN(AF86/Config!$B$10,1))/2</f>
        <v/>
      </c>
      <c r="AI86" s="12">
        <f>ROUND((AG86*AH86*G86)^(1/3),3)</f>
        <v/>
      </c>
      <c r="AJ86" s="12" t="n">
        <v>0.499</v>
      </c>
      <c r="AK86" s="13">
        <f>AI86-AJ86</f>
        <v/>
      </c>
      <c r="AL86" s="13">
        <f>AK86-AVERAGE($AK$2:$AK$173)</f>
        <v/>
      </c>
      <c r="AM86" s="6">
        <f>IF(ABS(AL86)&gt;Config!$B$11,"REVIEW","")</f>
        <v/>
      </c>
      <c r="AN86" s="14">
        <f>RANK(AI86,$AI$2:$AI$173)</f>
        <v/>
      </c>
      <c r="AO86" s="14">
        <f>RANK(AJ86,$AJ$2:$AJ$173)</f>
        <v/>
      </c>
      <c r="AP86" s="14" t="n">
        <v>86</v>
      </c>
    </row>
    <row r="87">
      <c r="A87" s="6" t="inlineStr">
        <is>
          <t>Myla</t>
        </is>
      </c>
      <c r="B87" s="6" t="inlineStr">
        <is>
          <t>Quia</t>
        </is>
      </c>
      <c r="C87" s="6" t="inlineStr">
        <is>
          <t>resource</t>
        </is>
      </c>
      <c r="D87" s="7" t="n">
        <v>58730</v>
      </c>
      <c r="E87" s="8">
        <f>D87*Config!$B$4</f>
        <v/>
      </c>
      <c r="F87" s="6">
        <f>LN(MAX(60,E87))</f>
        <v/>
      </c>
      <c r="G87" s="9">
        <f>MEDIAN(0,(F87-LN(Config!$B$5))/(LN(Config!$B$6)-LN(Config!$B$5)),1)</f>
        <v/>
      </c>
      <c r="H87" s="6">
        <f>MOD((Config!$B$2+$AP87*7919)*9301+49297,233280)/233280</f>
        <v/>
      </c>
      <c r="I87" s="6">
        <f>MOD((Config!$B$2+$AP87*104729)*4096+150889,714025)/714025</f>
        <v/>
      </c>
      <c r="J87" s="6">
        <f>MOD((Config!$B$2*31+$AP87*15485863)*1366+150889,714025)/714025</f>
        <v/>
      </c>
      <c r="K87" s="6" t="n">
        <v>0.051207</v>
      </c>
      <c r="L87" s="6" t="n">
        <v>0.006276</v>
      </c>
      <c r="M87" s="6">
        <f>COUNTIF(Siblings!$A$2:$A$84,B87)</f>
        <v/>
      </c>
      <c r="N87" s="6">
        <f>1+INT(J87*M87)</f>
        <v/>
      </c>
      <c r="O87" s="6">
        <f>IF(K87&lt;&gt;"",K87,IFERROR(INDEX(Siblings!$D$2:$D$84,MATCH(B87&amp;"|"&amp;N87,Siblings!$F$2:$F$84,0)),0))</f>
        <v/>
      </c>
      <c r="P87" s="6">
        <f>IF(L87&lt;&gt;"",L87,IFERROR(INDEX(Siblings!$E$2:$E$84,MATCH(B87&amp;"|"&amp;N87,Siblings!$F$2:$F$84,0)),0))</f>
        <v/>
      </c>
      <c r="Q87" s="6">
        <f>(INDEX('Earth curves'!$B$2:$B$46,MAX(1,MIN(44,IFERROR(MATCH(F87,'Earth curves'!$A$2:$A$46,1),1))))+(F87-INDEX('Earth curves'!$A$2:$A$46,MAX(1,MIN(44,IFERROR(MATCH(F87,'Earth curves'!$A$2:$A$46,1),1)))))*(INDEX('Earth curves'!$B$2:$B$46,MAX(1,MIN(44,IFERROR(MATCH(F87,'Earth curves'!$A$2:$A$46,1),1)))+1)-INDEX('Earth curves'!$B$2:$B$46,MAX(1,MIN(44,IFERROR(MATCH(F87,'Earth curves'!$A$2:$A$46,1),1)))))/(INDEX('Earth curves'!$A$2:$A$46,MAX(1,MIN(44,IFERROR(MATCH(F87,'Earth curves'!$A$2:$A$46,1),1)))+1)-INDEX('Earth curves'!$A$2:$A$46,MAX(1,MIN(44,IFERROR(MATCH(F87,'Earth curves'!$A$2:$A$46,1),1))))))</f>
        <v/>
      </c>
      <c r="R87" s="6">
        <f>(INDEX('Earth curves'!$C$2:$C$46,MAX(1,MIN(44,IFERROR(MATCH(F87,'Earth curves'!$A$2:$A$46,1),1))))+(F87-INDEX('Earth curves'!$A$2:$A$46,MAX(1,MIN(44,IFERROR(MATCH(F87,'Earth curves'!$A$2:$A$46,1),1)))))*(INDEX('Earth curves'!$C$2:$C$46,MAX(1,MIN(44,IFERROR(MATCH(F87,'Earth curves'!$A$2:$A$46,1),1)))+1)-INDEX('Earth curves'!$C$2:$C$46,MAX(1,MIN(44,IFERROR(MATCH(F87,'Earth curves'!$A$2:$A$46,1),1)))))/(INDEX('Earth curves'!$A$2:$A$46,MAX(1,MIN(44,IFERROR(MATCH(F87,'Earth curves'!$A$2:$A$46,1),1)))+1)-INDEX('Earth curves'!$A$2:$A$46,MAX(1,MIN(44,IFERROR(MATCH(F87,'Earth curves'!$A$2:$A$46,1),1))))))</f>
        <v/>
      </c>
      <c r="S87" s="6">
        <f>MEDIAN(0.307692,Q87+MEDIAN(-0.350583,O87+NORMSINV(H87)*0.064828*Config!$B$3,0.120277),0.993846)</f>
        <v/>
      </c>
      <c r="T87" s="10">
        <f>ROUND(Config!$B$7+(Config!$B$8-Config!$B$7)*S87,1)</f>
        <v/>
      </c>
      <c r="U87" s="11" t="n"/>
      <c r="V87" s="10">
        <f>IF(U87="",T87,U87)</f>
        <v/>
      </c>
      <c r="W87" s="6">
        <f>MEDIAN(0.05,R87+MEDIAN(-0.302219,P87+NORMSINV(I87)*0.089531*Config!$B$3,0.274961),0.999)</f>
        <v/>
      </c>
      <c r="X87" s="6">
        <f>(INDEX('Earth curves'!$F$2:$F$46,MAX(1,MIN(44,IFERROR(MATCH(W87,'Earth curves'!$E$2:$E$46,1),1))))+(W87-INDEX('Earth curves'!$E$2:$E$46,MAX(1,MIN(44,IFERROR(MATCH(W87,'Earth curves'!$E$2:$E$46,1),1)))))*(INDEX('Earth curves'!$F$2:$F$46,MAX(1,MIN(44,IFERROR(MATCH(W87,'Earth curves'!$E$2:$E$46,1),1)))+1)-INDEX('Earth curves'!$F$2:$F$46,MAX(1,MIN(44,IFERROR(MATCH(W87,'Earth curves'!$E$2:$E$46,1),1)))))/(INDEX('Earth curves'!$E$2:$E$46,MAX(1,MIN(44,IFERROR(MATCH(W87,'Earth curves'!$E$2:$E$46,1),1)))+1)-INDEX('Earth curves'!$E$2:$E$46,MAX(1,MIN(44,IFERROR(MATCH(W87,'Earth curves'!$E$2:$E$46,1),1))))))</f>
        <v/>
      </c>
      <c r="Y87" s="6">
        <f>(INDEX('Earth curves'!$G$2:$G$46,MAX(1,MIN(44,IFERROR(MATCH(W87,'Earth curves'!$E$2:$E$46,1),1))))+(W87-INDEX('Earth curves'!$E$2:$E$46,MAX(1,MIN(44,IFERROR(MATCH(W87,'Earth curves'!$E$2:$E$46,1),1)))))*(INDEX('Earth curves'!$G$2:$G$46,MAX(1,MIN(44,IFERROR(MATCH(W87,'Earth curves'!$E$2:$E$46,1),1)))+1)-INDEX('Earth curves'!$G$2:$G$46,MAX(1,MIN(44,IFERROR(MATCH(W87,'Earth curves'!$E$2:$E$46,1),1)))))/(INDEX('Earth curves'!$E$2:$E$46,MAX(1,MIN(44,IFERROR(MATCH(W87,'Earth curves'!$E$2:$E$46,1),1)))+1)-INDEX('Earth curves'!$E$2:$E$46,MAX(1,MIN(44,IFERROR(MATCH(W87,'Earth curves'!$E$2:$E$46,1),1))))))</f>
        <v/>
      </c>
      <c r="Z87" s="6">
        <f>(MIN(X87/Config!$B$9,1)+MIN(Y87/Config!$B$10,1))/2</f>
        <v/>
      </c>
      <c r="AA87" s="10">
        <f>ROUND(MIN(22,MAX(3,X87*W87/Z87)),1)</f>
        <v/>
      </c>
      <c r="AB87" s="11" t="n"/>
      <c r="AC87" s="10">
        <f>IF(AB87="",AA87,AB87)</f>
        <v/>
      </c>
      <c r="AD87" s="10">
        <f>ROUND(MIN(Config!$B$10,MAX(1,Y87*W87/Z87)),1)</f>
        <v/>
      </c>
      <c r="AE87" s="11" t="n"/>
      <c r="AF87" s="10">
        <f>IF(AE87="",AD87,AE87)</f>
        <v/>
      </c>
      <c r="AG87" s="9">
        <f>(V87-Config!$B$7)/(Config!$B$8-Config!$B$7)</f>
        <v/>
      </c>
      <c r="AH87" s="9">
        <f>(MIN(AC87/Config!$B$9,1)+MIN(AF87/Config!$B$10,1))/2</f>
        <v/>
      </c>
      <c r="AI87" s="12">
        <f>ROUND((AG87*AH87*G87)^(1/3),3)</f>
        <v/>
      </c>
      <c r="AJ87" s="12" t="n">
        <v>0.753</v>
      </c>
      <c r="AK87" s="13">
        <f>AI87-AJ87</f>
        <v/>
      </c>
      <c r="AL87" s="13">
        <f>AK87-AVERAGE($AK$2:$AK$173)</f>
        <v/>
      </c>
      <c r="AM87" s="6">
        <f>IF(ABS(AL87)&gt;Config!$B$11,"REVIEW","")</f>
        <v/>
      </c>
      <c r="AN87" s="14">
        <f>RANK(AI87,$AI$2:$AI$173)</f>
        <v/>
      </c>
      <c r="AO87" s="14">
        <f>RANK(AJ87,$AJ$2:$AJ$173)</f>
        <v/>
      </c>
      <c r="AP87" s="14" t="n">
        <v>87</v>
      </c>
    </row>
    <row r="88">
      <c r="A88" s="6" t="inlineStr">
        <is>
          <t>New Kizura</t>
        </is>
      </c>
      <c r="B88" s="6" t="inlineStr">
        <is>
          <t>Ayuma</t>
        </is>
      </c>
      <c r="C88" s="6" t="inlineStr">
        <is>
          <t>microstate, militarised</t>
        </is>
      </c>
      <c r="D88" s="7" t="n">
        <v>326984</v>
      </c>
      <c r="E88" s="8">
        <f>D88*Config!$B$4</f>
        <v/>
      </c>
      <c r="F88" s="6">
        <f>LN(MAX(60,E88))</f>
        <v/>
      </c>
      <c r="G88" s="9">
        <f>MEDIAN(0,(F88-LN(Config!$B$5))/(LN(Config!$B$6)-LN(Config!$B$5)),1)</f>
        <v/>
      </c>
      <c r="H88" s="6">
        <f>MOD((Config!$B$2+$AP88*7919)*9301+49297,233280)/233280</f>
        <v/>
      </c>
      <c r="I88" s="6">
        <f>MOD((Config!$B$2+$AP88*104729)*4096+150889,714025)/714025</f>
        <v/>
      </c>
      <c r="J88" s="6">
        <f>MOD((Config!$B$2*31+$AP88*15485863)*1366+150889,714025)/714025</f>
        <v/>
      </c>
      <c r="K88" s="6" t="n"/>
      <c r="L88" s="6" t="n"/>
      <c r="M88" s="6">
        <f>COUNTIF(Siblings!$A$2:$A$84,B88)</f>
        <v/>
      </c>
      <c r="N88" s="6">
        <f>1+INT(J88*M88)</f>
        <v/>
      </c>
      <c r="O88" s="6">
        <f>IF(K88&lt;&gt;"",K88,IFERROR(INDEX(Siblings!$D$2:$D$84,MATCH(B88&amp;"|"&amp;N88,Siblings!$F$2:$F$84,0)),0))</f>
        <v/>
      </c>
      <c r="P88" s="6">
        <f>IF(L88&lt;&gt;"",L88,IFERROR(INDEX(Siblings!$E$2:$E$84,MATCH(B88&amp;"|"&amp;N88,Siblings!$F$2:$F$84,0)),0))</f>
        <v/>
      </c>
      <c r="Q88" s="6">
        <f>(INDEX('Earth curves'!$B$2:$B$46,MAX(1,MIN(44,IFERROR(MATCH(F88,'Earth curves'!$A$2:$A$46,1),1))))+(F88-INDEX('Earth curves'!$A$2:$A$46,MAX(1,MIN(44,IFERROR(MATCH(F88,'Earth curves'!$A$2:$A$46,1),1)))))*(INDEX('Earth curves'!$B$2:$B$46,MAX(1,MIN(44,IFERROR(MATCH(F88,'Earth curves'!$A$2:$A$46,1),1)))+1)-INDEX('Earth curves'!$B$2:$B$46,MAX(1,MIN(44,IFERROR(MATCH(F88,'Earth curves'!$A$2:$A$46,1),1)))))/(INDEX('Earth curves'!$A$2:$A$46,MAX(1,MIN(44,IFERROR(MATCH(F88,'Earth curves'!$A$2:$A$46,1),1)))+1)-INDEX('Earth curves'!$A$2:$A$46,MAX(1,MIN(44,IFERROR(MATCH(F88,'Earth curves'!$A$2:$A$46,1),1))))))</f>
        <v/>
      </c>
      <c r="R88" s="6">
        <f>(INDEX('Earth curves'!$C$2:$C$46,MAX(1,MIN(44,IFERROR(MATCH(F88,'Earth curves'!$A$2:$A$46,1),1))))+(F88-INDEX('Earth curves'!$A$2:$A$46,MAX(1,MIN(44,IFERROR(MATCH(F88,'Earth curves'!$A$2:$A$46,1),1)))))*(INDEX('Earth curves'!$C$2:$C$46,MAX(1,MIN(44,IFERROR(MATCH(F88,'Earth curves'!$A$2:$A$46,1),1)))+1)-INDEX('Earth curves'!$C$2:$C$46,MAX(1,MIN(44,IFERROR(MATCH(F88,'Earth curves'!$A$2:$A$46,1),1)))))/(INDEX('Earth curves'!$A$2:$A$46,MAX(1,MIN(44,IFERROR(MATCH(F88,'Earth curves'!$A$2:$A$46,1),1)))+1)-INDEX('Earth curves'!$A$2:$A$46,MAX(1,MIN(44,IFERROR(MATCH(F88,'Earth curves'!$A$2:$A$46,1),1))))))</f>
        <v/>
      </c>
      <c r="S88" s="6">
        <f>MEDIAN(0.307692,Q88+MEDIAN(-0.350583,O88+NORMSINV(H88)*0.064828*Config!$B$3,0.120277),0.993846)</f>
        <v/>
      </c>
      <c r="T88" s="10">
        <f>ROUND(Config!$B$7+(Config!$B$8-Config!$B$7)*S88,1)</f>
        <v/>
      </c>
      <c r="U88" s="11" t="n"/>
      <c r="V88" s="10">
        <f>IF(U88="",T88,U88)</f>
        <v/>
      </c>
      <c r="W88" s="6">
        <f>MEDIAN(0.05,R88+MEDIAN(-0.302219,P88+NORMSINV(I88)*0.089531*Config!$B$3,0.274961),0.999)</f>
        <v/>
      </c>
      <c r="X88" s="6">
        <f>(INDEX('Earth curves'!$F$2:$F$46,MAX(1,MIN(44,IFERROR(MATCH(W88,'Earth curves'!$E$2:$E$46,1),1))))+(W88-INDEX('Earth curves'!$E$2:$E$46,MAX(1,MIN(44,IFERROR(MATCH(W88,'Earth curves'!$E$2:$E$46,1),1)))))*(INDEX('Earth curves'!$F$2:$F$46,MAX(1,MIN(44,IFERROR(MATCH(W88,'Earth curves'!$E$2:$E$46,1),1)))+1)-INDEX('Earth curves'!$F$2:$F$46,MAX(1,MIN(44,IFERROR(MATCH(W88,'Earth curves'!$E$2:$E$46,1),1)))))/(INDEX('Earth curves'!$E$2:$E$46,MAX(1,MIN(44,IFERROR(MATCH(W88,'Earth curves'!$E$2:$E$46,1),1)))+1)-INDEX('Earth curves'!$E$2:$E$46,MAX(1,MIN(44,IFERROR(MATCH(W88,'Earth curves'!$E$2:$E$46,1),1))))))</f>
        <v/>
      </c>
      <c r="Y88" s="6">
        <f>(INDEX('Earth curves'!$G$2:$G$46,MAX(1,MIN(44,IFERROR(MATCH(W88,'Earth curves'!$E$2:$E$46,1),1))))+(W88-INDEX('Earth curves'!$E$2:$E$46,MAX(1,MIN(44,IFERROR(MATCH(W88,'Earth curves'!$E$2:$E$46,1),1)))))*(INDEX('Earth curves'!$G$2:$G$46,MAX(1,MIN(44,IFERROR(MATCH(W88,'Earth curves'!$E$2:$E$46,1),1)))+1)-INDEX('Earth curves'!$G$2:$G$46,MAX(1,MIN(44,IFERROR(MATCH(W88,'Earth curves'!$E$2:$E$46,1),1)))))/(INDEX('Earth curves'!$E$2:$E$46,MAX(1,MIN(44,IFERROR(MATCH(W88,'Earth curves'!$E$2:$E$46,1),1)))+1)-INDEX('Earth curves'!$E$2:$E$46,MAX(1,MIN(44,IFERROR(MATCH(W88,'Earth curves'!$E$2:$E$46,1),1))))))</f>
        <v/>
      </c>
      <c r="Z88" s="6">
        <f>(MIN(X88/Config!$B$9,1)+MIN(Y88/Config!$B$10,1))/2</f>
        <v/>
      </c>
      <c r="AA88" s="10">
        <f>ROUND(MIN(22,MAX(3,X88*W88/Z88)),1)</f>
        <v/>
      </c>
      <c r="AB88" s="11" t="n"/>
      <c r="AC88" s="10">
        <f>IF(AB88="",AA88,AB88)</f>
        <v/>
      </c>
      <c r="AD88" s="10">
        <f>ROUND(MIN(Config!$B$10,MAX(1,Y88*W88/Z88)),1)</f>
        <v/>
      </c>
      <c r="AE88" s="11" t="n"/>
      <c r="AF88" s="10">
        <f>IF(AE88="",AD88,AE88)</f>
        <v/>
      </c>
      <c r="AG88" s="9">
        <f>(V88-Config!$B$7)/(Config!$B$8-Config!$B$7)</f>
        <v/>
      </c>
      <c r="AH88" s="9">
        <f>(MIN(AC88/Config!$B$9,1)+MIN(AF88/Config!$B$10,1))/2</f>
        <v/>
      </c>
      <c r="AI88" s="12">
        <f>ROUND((AG88*AH88*G88)^(1/3),3)</f>
        <v/>
      </c>
      <c r="AJ88" s="12" t="n">
        <v>0.952</v>
      </c>
      <c r="AK88" s="13">
        <f>AI88-AJ88</f>
        <v/>
      </c>
      <c r="AL88" s="13">
        <f>AK88-AVERAGE($AK$2:$AK$173)</f>
        <v/>
      </c>
      <c r="AM88" s="6">
        <f>IF(ABS(AL88)&gt;Config!$B$11,"REVIEW","")</f>
        <v/>
      </c>
      <c r="AN88" s="14">
        <f>RANK(AI88,$AI$2:$AI$173)</f>
        <v/>
      </c>
      <c r="AO88" s="14">
        <f>RANK(AJ88,$AJ$2:$AJ$173)</f>
        <v/>
      </c>
      <c r="AP88" s="14" t="n">
        <v>88</v>
      </c>
    </row>
    <row r="89">
      <c r="A89" s="6" t="inlineStr">
        <is>
          <t>New Misos</t>
        </is>
      </c>
      <c r="B89" s="6" t="inlineStr">
        <is>
          <t>Atirha</t>
        </is>
      </c>
      <c r="C89" s="6" t="inlineStr">
        <is>
          <t>resource</t>
        </is>
      </c>
      <c r="D89" s="7" t="n">
        <v>124444</v>
      </c>
      <c r="E89" s="8">
        <f>D89*Config!$B$4</f>
        <v/>
      </c>
      <c r="F89" s="6">
        <f>LN(MAX(60,E89))</f>
        <v/>
      </c>
      <c r="G89" s="9">
        <f>MEDIAN(0,(F89-LN(Config!$B$5))/(LN(Config!$B$6)-LN(Config!$B$5)),1)</f>
        <v/>
      </c>
      <c r="H89" s="6">
        <f>MOD((Config!$B$2+$AP89*7919)*9301+49297,233280)/233280</f>
        <v/>
      </c>
      <c r="I89" s="6">
        <f>MOD((Config!$B$2+$AP89*104729)*4096+150889,714025)/714025</f>
        <v/>
      </c>
      <c r="J89" s="6">
        <f>MOD((Config!$B$2*31+$AP89*15485863)*1366+150889,714025)/714025</f>
        <v/>
      </c>
      <c r="K89" s="6" t="n">
        <v>0.003672</v>
      </c>
      <c r="L89" s="6" t="n">
        <v>-0.057017</v>
      </c>
      <c r="M89" s="6">
        <f>COUNTIF(Siblings!$A$2:$A$84,B89)</f>
        <v/>
      </c>
      <c r="N89" s="6">
        <f>1+INT(J89*M89)</f>
        <v/>
      </c>
      <c r="O89" s="6">
        <f>IF(K89&lt;&gt;"",K89,IFERROR(INDEX(Siblings!$D$2:$D$84,MATCH(B89&amp;"|"&amp;N89,Siblings!$F$2:$F$84,0)),0))</f>
        <v/>
      </c>
      <c r="P89" s="6">
        <f>IF(L89&lt;&gt;"",L89,IFERROR(INDEX(Siblings!$E$2:$E$84,MATCH(B89&amp;"|"&amp;N89,Siblings!$F$2:$F$84,0)),0))</f>
        <v/>
      </c>
      <c r="Q89" s="6">
        <f>(INDEX('Earth curves'!$B$2:$B$46,MAX(1,MIN(44,IFERROR(MATCH(F89,'Earth curves'!$A$2:$A$46,1),1))))+(F89-INDEX('Earth curves'!$A$2:$A$46,MAX(1,MIN(44,IFERROR(MATCH(F89,'Earth curves'!$A$2:$A$46,1),1)))))*(INDEX('Earth curves'!$B$2:$B$46,MAX(1,MIN(44,IFERROR(MATCH(F89,'Earth curves'!$A$2:$A$46,1),1)))+1)-INDEX('Earth curves'!$B$2:$B$46,MAX(1,MIN(44,IFERROR(MATCH(F89,'Earth curves'!$A$2:$A$46,1),1)))))/(INDEX('Earth curves'!$A$2:$A$46,MAX(1,MIN(44,IFERROR(MATCH(F89,'Earth curves'!$A$2:$A$46,1),1)))+1)-INDEX('Earth curves'!$A$2:$A$46,MAX(1,MIN(44,IFERROR(MATCH(F89,'Earth curves'!$A$2:$A$46,1),1))))))</f>
        <v/>
      </c>
      <c r="R89" s="6">
        <f>(INDEX('Earth curves'!$C$2:$C$46,MAX(1,MIN(44,IFERROR(MATCH(F89,'Earth curves'!$A$2:$A$46,1),1))))+(F89-INDEX('Earth curves'!$A$2:$A$46,MAX(1,MIN(44,IFERROR(MATCH(F89,'Earth curves'!$A$2:$A$46,1),1)))))*(INDEX('Earth curves'!$C$2:$C$46,MAX(1,MIN(44,IFERROR(MATCH(F89,'Earth curves'!$A$2:$A$46,1),1)))+1)-INDEX('Earth curves'!$C$2:$C$46,MAX(1,MIN(44,IFERROR(MATCH(F89,'Earth curves'!$A$2:$A$46,1),1)))))/(INDEX('Earth curves'!$A$2:$A$46,MAX(1,MIN(44,IFERROR(MATCH(F89,'Earth curves'!$A$2:$A$46,1),1)))+1)-INDEX('Earth curves'!$A$2:$A$46,MAX(1,MIN(44,IFERROR(MATCH(F89,'Earth curves'!$A$2:$A$46,1),1))))))</f>
        <v/>
      </c>
      <c r="S89" s="6">
        <f>MEDIAN(0.307692,Q89+MEDIAN(-0.350583,O89+NORMSINV(H89)*0.064828*Config!$B$3,0.120277),0.993846)</f>
        <v/>
      </c>
      <c r="T89" s="10">
        <f>ROUND(Config!$B$7+(Config!$B$8-Config!$B$7)*S89,1)</f>
        <v/>
      </c>
      <c r="U89" s="11" t="n"/>
      <c r="V89" s="10">
        <f>IF(U89="",T89,U89)</f>
        <v/>
      </c>
      <c r="W89" s="6">
        <f>MEDIAN(0.05,R89+MEDIAN(-0.302219,P89+NORMSINV(I89)*0.089531*Config!$B$3,0.274961),0.999)</f>
        <v/>
      </c>
      <c r="X89" s="6">
        <f>(INDEX('Earth curves'!$F$2:$F$46,MAX(1,MIN(44,IFERROR(MATCH(W89,'Earth curves'!$E$2:$E$46,1),1))))+(W89-INDEX('Earth curves'!$E$2:$E$46,MAX(1,MIN(44,IFERROR(MATCH(W89,'Earth curves'!$E$2:$E$46,1),1)))))*(INDEX('Earth curves'!$F$2:$F$46,MAX(1,MIN(44,IFERROR(MATCH(W89,'Earth curves'!$E$2:$E$46,1),1)))+1)-INDEX('Earth curves'!$F$2:$F$46,MAX(1,MIN(44,IFERROR(MATCH(W89,'Earth curves'!$E$2:$E$46,1),1)))))/(INDEX('Earth curves'!$E$2:$E$46,MAX(1,MIN(44,IFERROR(MATCH(W89,'Earth curves'!$E$2:$E$46,1),1)))+1)-INDEX('Earth curves'!$E$2:$E$46,MAX(1,MIN(44,IFERROR(MATCH(W89,'Earth curves'!$E$2:$E$46,1),1))))))</f>
        <v/>
      </c>
      <c r="Y89" s="6">
        <f>(INDEX('Earth curves'!$G$2:$G$46,MAX(1,MIN(44,IFERROR(MATCH(W89,'Earth curves'!$E$2:$E$46,1),1))))+(W89-INDEX('Earth curves'!$E$2:$E$46,MAX(1,MIN(44,IFERROR(MATCH(W89,'Earth curves'!$E$2:$E$46,1),1)))))*(INDEX('Earth curves'!$G$2:$G$46,MAX(1,MIN(44,IFERROR(MATCH(W89,'Earth curves'!$E$2:$E$46,1),1)))+1)-INDEX('Earth curves'!$G$2:$G$46,MAX(1,MIN(44,IFERROR(MATCH(W89,'Earth curves'!$E$2:$E$46,1),1)))))/(INDEX('Earth curves'!$E$2:$E$46,MAX(1,MIN(44,IFERROR(MATCH(W89,'Earth curves'!$E$2:$E$46,1),1)))+1)-INDEX('Earth curves'!$E$2:$E$46,MAX(1,MIN(44,IFERROR(MATCH(W89,'Earth curves'!$E$2:$E$46,1),1))))))</f>
        <v/>
      </c>
      <c r="Z89" s="6">
        <f>(MIN(X89/Config!$B$9,1)+MIN(Y89/Config!$B$10,1))/2</f>
        <v/>
      </c>
      <c r="AA89" s="10">
        <f>ROUND(MIN(22,MAX(3,X89*W89/Z89)),1)</f>
        <v/>
      </c>
      <c r="AB89" s="11" t="n"/>
      <c r="AC89" s="10">
        <f>IF(AB89="",AA89,AB89)</f>
        <v/>
      </c>
      <c r="AD89" s="10">
        <f>ROUND(MIN(Config!$B$10,MAX(1,Y89*W89/Z89)),1)</f>
        <v/>
      </c>
      <c r="AE89" s="11" t="n"/>
      <c r="AF89" s="10">
        <f>IF(AE89="",AD89,AE89)</f>
        <v/>
      </c>
      <c r="AG89" s="9">
        <f>(V89-Config!$B$7)/(Config!$B$8-Config!$B$7)</f>
        <v/>
      </c>
      <c r="AH89" s="9">
        <f>(MIN(AC89/Config!$B$9,1)+MIN(AF89/Config!$B$10,1))/2</f>
        <v/>
      </c>
      <c r="AI89" s="12">
        <f>ROUND((AG89*AH89*G89)^(1/3),3)</f>
        <v/>
      </c>
      <c r="AJ89" s="12" t="n">
        <v>0.868</v>
      </c>
      <c r="AK89" s="13">
        <f>AI89-AJ89</f>
        <v/>
      </c>
      <c r="AL89" s="13">
        <f>AK89-AVERAGE($AK$2:$AK$173)</f>
        <v/>
      </c>
      <c r="AM89" s="6">
        <f>IF(ABS(AL89)&gt;Config!$B$11,"REVIEW","")</f>
        <v/>
      </c>
      <c r="AN89" s="14">
        <f>RANK(AI89,$AI$2:$AI$173)</f>
        <v/>
      </c>
      <c r="AO89" s="14">
        <f>RANK(AJ89,$AJ$2:$AJ$173)</f>
        <v/>
      </c>
      <c r="AP89" s="14" t="n">
        <v>89</v>
      </c>
    </row>
    <row r="90">
      <c r="A90" s="6" t="inlineStr">
        <is>
          <t>Nheyes Si</t>
        </is>
      </c>
      <c r="B90" s="6" t="inlineStr">
        <is>
          <t>Quia</t>
        </is>
      </c>
      <c r="C90" s="6" t="inlineStr">
        <is>
          <t>—</t>
        </is>
      </c>
      <c r="D90" s="7" t="n">
        <v>29397</v>
      </c>
      <c r="E90" s="8">
        <f>D90*Config!$B$4</f>
        <v/>
      </c>
      <c r="F90" s="6">
        <f>LN(MAX(60,E90))</f>
        <v/>
      </c>
      <c r="G90" s="9">
        <f>MEDIAN(0,(F90-LN(Config!$B$5))/(LN(Config!$B$6)-LN(Config!$B$5)),1)</f>
        <v/>
      </c>
      <c r="H90" s="6">
        <f>MOD((Config!$B$2+$AP90*7919)*9301+49297,233280)/233280</f>
        <v/>
      </c>
      <c r="I90" s="6">
        <f>MOD((Config!$B$2+$AP90*104729)*4096+150889,714025)/714025</f>
        <v/>
      </c>
      <c r="J90" s="6">
        <f>MOD((Config!$B$2*31+$AP90*15485863)*1366+150889,714025)/714025</f>
        <v/>
      </c>
      <c r="K90" s="6" t="n">
        <v>-0.004965</v>
      </c>
      <c r="L90" s="6" t="n">
        <v>-0.069409</v>
      </c>
      <c r="M90" s="6">
        <f>COUNTIF(Siblings!$A$2:$A$84,B90)</f>
        <v/>
      </c>
      <c r="N90" s="6">
        <f>1+INT(J90*M90)</f>
        <v/>
      </c>
      <c r="O90" s="6">
        <f>IF(K90&lt;&gt;"",K90,IFERROR(INDEX(Siblings!$D$2:$D$84,MATCH(B90&amp;"|"&amp;N90,Siblings!$F$2:$F$84,0)),0))</f>
        <v/>
      </c>
      <c r="P90" s="6">
        <f>IF(L90&lt;&gt;"",L90,IFERROR(INDEX(Siblings!$E$2:$E$84,MATCH(B90&amp;"|"&amp;N90,Siblings!$F$2:$F$84,0)),0))</f>
        <v/>
      </c>
      <c r="Q90" s="6">
        <f>(INDEX('Earth curves'!$B$2:$B$46,MAX(1,MIN(44,IFERROR(MATCH(F90,'Earth curves'!$A$2:$A$46,1),1))))+(F90-INDEX('Earth curves'!$A$2:$A$46,MAX(1,MIN(44,IFERROR(MATCH(F90,'Earth curves'!$A$2:$A$46,1),1)))))*(INDEX('Earth curves'!$B$2:$B$46,MAX(1,MIN(44,IFERROR(MATCH(F90,'Earth curves'!$A$2:$A$46,1),1)))+1)-INDEX('Earth curves'!$B$2:$B$46,MAX(1,MIN(44,IFERROR(MATCH(F90,'Earth curves'!$A$2:$A$46,1),1)))))/(INDEX('Earth curves'!$A$2:$A$46,MAX(1,MIN(44,IFERROR(MATCH(F90,'Earth curves'!$A$2:$A$46,1),1)))+1)-INDEX('Earth curves'!$A$2:$A$46,MAX(1,MIN(44,IFERROR(MATCH(F90,'Earth curves'!$A$2:$A$46,1),1))))))</f>
        <v/>
      </c>
      <c r="R90" s="6">
        <f>(INDEX('Earth curves'!$C$2:$C$46,MAX(1,MIN(44,IFERROR(MATCH(F90,'Earth curves'!$A$2:$A$46,1),1))))+(F90-INDEX('Earth curves'!$A$2:$A$46,MAX(1,MIN(44,IFERROR(MATCH(F90,'Earth curves'!$A$2:$A$46,1),1)))))*(INDEX('Earth curves'!$C$2:$C$46,MAX(1,MIN(44,IFERROR(MATCH(F90,'Earth curves'!$A$2:$A$46,1),1)))+1)-INDEX('Earth curves'!$C$2:$C$46,MAX(1,MIN(44,IFERROR(MATCH(F90,'Earth curves'!$A$2:$A$46,1),1)))))/(INDEX('Earth curves'!$A$2:$A$46,MAX(1,MIN(44,IFERROR(MATCH(F90,'Earth curves'!$A$2:$A$46,1),1)))+1)-INDEX('Earth curves'!$A$2:$A$46,MAX(1,MIN(44,IFERROR(MATCH(F90,'Earth curves'!$A$2:$A$46,1),1))))))</f>
        <v/>
      </c>
      <c r="S90" s="6">
        <f>MEDIAN(0.307692,Q90+MEDIAN(-0.350583,O90+NORMSINV(H90)*0.064828*Config!$B$3,0.120277),0.993846)</f>
        <v/>
      </c>
      <c r="T90" s="10">
        <f>ROUND(Config!$B$7+(Config!$B$8-Config!$B$7)*S90,1)</f>
        <v/>
      </c>
      <c r="U90" s="11" t="n"/>
      <c r="V90" s="10">
        <f>IF(U90="",T90,U90)</f>
        <v/>
      </c>
      <c r="W90" s="6">
        <f>MEDIAN(0.05,R90+MEDIAN(-0.302219,P90+NORMSINV(I90)*0.089531*Config!$B$3,0.274961),0.999)</f>
        <v/>
      </c>
      <c r="X90" s="6">
        <f>(INDEX('Earth curves'!$F$2:$F$46,MAX(1,MIN(44,IFERROR(MATCH(W90,'Earth curves'!$E$2:$E$46,1),1))))+(W90-INDEX('Earth curves'!$E$2:$E$46,MAX(1,MIN(44,IFERROR(MATCH(W90,'Earth curves'!$E$2:$E$46,1),1)))))*(INDEX('Earth curves'!$F$2:$F$46,MAX(1,MIN(44,IFERROR(MATCH(W90,'Earth curves'!$E$2:$E$46,1),1)))+1)-INDEX('Earth curves'!$F$2:$F$46,MAX(1,MIN(44,IFERROR(MATCH(W90,'Earth curves'!$E$2:$E$46,1),1)))))/(INDEX('Earth curves'!$E$2:$E$46,MAX(1,MIN(44,IFERROR(MATCH(W90,'Earth curves'!$E$2:$E$46,1),1)))+1)-INDEX('Earth curves'!$E$2:$E$46,MAX(1,MIN(44,IFERROR(MATCH(W90,'Earth curves'!$E$2:$E$46,1),1))))))</f>
        <v/>
      </c>
      <c r="Y90" s="6">
        <f>(INDEX('Earth curves'!$G$2:$G$46,MAX(1,MIN(44,IFERROR(MATCH(W90,'Earth curves'!$E$2:$E$46,1),1))))+(W90-INDEX('Earth curves'!$E$2:$E$46,MAX(1,MIN(44,IFERROR(MATCH(W90,'Earth curves'!$E$2:$E$46,1),1)))))*(INDEX('Earth curves'!$G$2:$G$46,MAX(1,MIN(44,IFERROR(MATCH(W90,'Earth curves'!$E$2:$E$46,1),1)))+1)-INDEX('Earth curves'!$G$2:$G$46,MAX(1,MIN(44,IFERROR(MATCH(W90,'Earth curves'!$E$2:$E$46,1),1)))))/(INDEX('Earth curves'!$E$2:$E$46,MAX(1,MIN(44,IFERROR(MATCH(W90,'Earth curves'!$E$2:$E$46,1),1)))+1)-INDEX('Earth curves'!$E$2:$E$46,MAX(1,MIN(44,IFERROR(MATCH(W90,'Earth curves'!$E$2:$E$46,1),1))))))</f>
        <v/>
      </c>
      <c r="Z90" s="6">
        <f>(MIN(X90/Config!$B$9,1)+MIN(Y90/Config!$B$10,1))/2</f>
        <v/>
      </c>
      <c r="AA90" s="10">
        <f>ROUND(MIN(22,MAX(3,X90*W90/Z90)),1)</f>
        <v/>
      </c>
      <c r="AB90" s="11" t="n"/>
      <c r="AC90" s="10">
        <f>IF(AB90="",AA90,AB90)</f>
        <v/>
      </c>
      <c r="AD90" s="10">
        <f>ROUND(MIN(Config!$B$10,MAX(1,Y90*W90/Z90)),1)</f>
        <v/>
      </c>
      <c r="AE90" s="11" t="n"/>
      <c r="AF90" s="10">
        <f>IF(AE90="",AD90,AE90)</f>
        <v/>
      </c>
      <c r="AG90" s="9">
        <f>(V90-Config!$B$7)/(Config!$B$8-Config!$B$7)</f>
        <v/>
      </c>
      <c r="AH90" s="9">
        <f>(MIN(AC90/Config!$B$9,1)+MIN(AF90/Config!$B$10,1))/2</f>
        <v/>
      </c>
      <c r="AI90" s="12">
        <f>ROUND((AG90*AH90*G90)^(1/3),3)</f>
        <v/>
      </c>
      <c r="AJ90" s="12" t="n">
        <v>0.735</v>
      </c>
      <c r="AK90" s="13">
        <f>AI90-AJ90</f>
        <v/>
      </c>
      <c r="AL90" s="13">
        <f>AK90-AVERAGE($AK$2:$AK$173)</f>
        <v/>
      </c>
      <c r="AM90" s="6">
        <f>IF(ABS(AL90)&gt;Config!$B$11,"REVIEW","")</f>
        <v/>
      </c>
      <c r="AN90" s="14">
        <f>RANK(AI90,$AI$2:$AI$173)</f>
        <v/>
      </c>
      <c r="AO90" s="14">
        <f>RANK(AJ90,$AJ$2:$AJ$173)</f>
        <v/>
      </c>
      <c r="AP90" s="14" t="n">
        <v>90</v>
      </c>
    </row>
    <row r="91">
      <c r="A91" s="6" t="inlineStr">
        <is>
          <t>Nia</t>
        </is>
      </c>
      <c r="B91" s="6" t="inlineStr">
        <is>
          <t>New Ayre</t>
        </is>
      </c>
      <c r="C91" s="6" t="inlineStr">
        <is>
          <t>resource</t>
        </is>
      </c>
      <c r="D91" s="7" t="n">
        <v>26984</v>
      </c>
      <c r="E91" s="8">
        <f>D91*Config!$B$4</f>
        <v/>
      </c>
      <c r="F91" s="6">
        <f>LN(MAX(60,E91))</f>
        <v/>
      </c>
      <c r="G91" s="9">
        <f>MEDIAN(0,(F91-LN(Config!$B$5))/(LN(Config!$B$6)-LN(Config!$B$5)),1)</f>
        <v/>
      </c>
      <c r="H91" s="6">
        <f>MOD((Config!$B$2+$AP91*7919)*9301+49297,233280)/233280</f>
        <v/>
      </c>
      <c r="I91" s="6">
        <f>MOD((Config!$B$2+$AP91*104729)*4096+150889,714025)/714025</f>
        <v/>
      </c>
      <c r="J91" s="6">
        <f>MOD((Config!$B$2*31+$AP91*15485863)*1366+150889,714025)/714025</f>
        <v/>
      </c>
      <c r="K91" s="6" t="n">
        <v>-0.040293</v>
      </c>
      <c r="L91" s="6" t="n">
        <v>-0.035325</v>
      </c>
      <c r="M91" s="6">
        <f>COUNTIF(Siblings!$A$2:$A$84,B91)</f>
        <v/>
      </c>
      <c r="N91" s="6">
        <f>1+INT(J91*M91)</f>
        <v/>
      </c>
      <c r="O91" s="6">
        <f>IF(K91&lt;&gt;"",K91,IFERROR(INDEX(Siblings!$D$2:$D$84,MATCH(B91&amp;"|"&amp;N91,Siblings!$F$2:$F$84,0)),0))</f>
        <v/>
      </c>
      <c r="P91" s="6">
        <f>IF(L91&lt;&gt;"",L91,IFERROR(INDEX(Siblings!$E$2:$E$84,MATCH(B91&amp;"|"&amp;N91,Siblings!$F$2:$F$84,0)),0))</f>
        <v/>
      </c>
      <c r="Q91" s="6">
        <f>(INDEX('Earth curves'!$B$2:$B$46,MAX(1,MIN(44,IFERROR(MATCH(F91,'Earth curves'!$A$2:$A$46,1),1))))+(F91-INDEX('Earth curves'!$A$2:$A$46,MAX(1,MIN(44,IFERROR(MATCH(F91,'Earth curves'!$A$2:$A$46,1),1)))))*(INDEX('Earth curves'!$B$2:$B$46,MAX(1,MIN(44,IFERROR(MATCH(F91,'Earth curves'!$A$2:$A$46,1),1)))+1)-INDEX('Earth curves'!$B$2:$B$46,MAX(1,MIN(44,IFERROR(MATCH(F91,'Earth curves'!$A$2:$A$46,1),1)))))/(INDEX('Earth curves'!$A$2:$A$46,MAX(1,MIN(44,IFERROR(MATCH(F91,'Earth curves'!$A$2:$A$46,1),1)))+1)-INDEX('Earth curves'!$A$2:$A$46,MAX(1,MIN(44,IFERROR(MATCH(F91,'Earth curves'!$A$2:$A$46,1),1))))))</f>
        <v/>
      </c>
      <c r="R91" s="6">
        <f>(INDEX('Earth curves'!$C$2:$C$46,MAX(1,MIN(44,IFERROR(MATCH(F91,'Earth curves'!$A$2:$A$46,1),1))))+(F91-INDEX('Earth curves'!$A$2:$A$46,MAX(1,MIN(44,IFERROR(MATCH(F91,'Earth curves'!$A$2:$A$46,1),1)))))*(INDEX('Earth curves'!$C$2:$C$46,MAX(1,MIN(44,IFERROR(MATCH(F91,'Earth curves'!$A$2:$A$46,1),1)))+1)-INDEX('Earth curves'!$C$2:$C$46,MAX(1,MIN(44,IFERROR(MATCH(F91,'Earth curves'!$A$2:$A$46,1),1)))))/(INDEX('Earth curves'!$A$2:$A$46,MAX(1,MIN(44,IFERROR(MATCH(F91,'Earth curves'!$A$2:$A$46,1),1)))+1)-INDEX('Earth curves'!$A$2:$A$46,MAX(1,MIN(44,IFERROR(MATCH(F91,'Earth curves'!$A$2:$A$46,1),1))))))</f>
        <v/>
      </c>
      <c r="S91" s="6">
        <f>MEDIAN(0.307692,Q91+MEDIAN(-0.350583,O91+NORMSINV(H91)*0.064828*Config!$B$3,0.120277),0.993846)</f>
        <v/>
      </c>
      <c r="T91" s="10">
        <f>ROUND(Config!$B$7+(Config!$B$8-Config!$B$7)*S91,1)</f>
        <v/>
      </c>
      <c r="U91" s="11" t="n"/>
      <c r="V91" s="10">
        <f>IF(U91="",T91,U91)</f>
        <v/>
      </c>
      <c r="W91" s="6">
        <f>MEDIAN(0.05,R91+MEDIAN(-0.302219,P91+NORMSINV(I91)*0.089531*Config!$B$3,0.274961),0.999)</f>
        <v/>
      </c>
      <c r="X91" s="6">
        <f>(INDEX('Earth curves'!$F$2:$F$46,MAX(1,MIN(44,IFERROR(MATCH(W91,'Earth curves'!$E$2:$E$46,1),1))))+(W91-INDEX('Earth curves'!$E$2:$E$46,MAX(1,MIN(44,IFERROR(MATCH(W91,'Earth curves'!$E$2:$E$46,1),1)))))*(INDEX('Earth curves'!$F$2:$F$46,MAX(1,MIN(44,IFERROR(MATCH(W91,'Earth curves'!$E$2:$E$46,1),1)))+1)-INDEX('Earth curves'!$F$2:$F$46,MAX(1,MIN(44,IFERROR(MATCH(W91,'Earth curves'!$E$2:$E$46,1),1)))))/(INDEX('Earth curves'!$E$2:$E$46,MAX(1,MIN(44,IFERROR(MATCH(W91,'Earth curves'!$E$2:$E$46,1),1)))+1)-INDEX('Earth curves'!$E$2:$E$46,MAX(1,MIN(44,IFERROR(MATCH(W91,'Earth curves'!$E$2:$E$46,1),1))))))</f>
        <v/>
      </c>
      <c r="Y91" s="6">
        <f>(INDEX('Earth curves'!$G$2:$G$46,MAX(1,MIN(44,IFERROR(MATCH(W91,'Earth curves'!$E$2:$E$46,1),1))))+(W91-INDEX('Earth curves'!$E$2:$E$46,MAX(1,MIN(44,IFERROR(MATCH(W91,'Earth curves'!$E$2:$E$46,1),1)))))*(INDEX('Earth curves'!$G$2:$G$46,MAX(1,MIN(44,IFERROR(MATCH(W91,'Earth curves'!$E$2:$E$46,1),1)))+1)-INDEX('Earth curves'!$G$2:$G$46,MAX(1,MIN(44,IFERROR(MATCH(W91,'Earth curves'!$E$2:$E$46,1),1)))))/(INDEX('Earth curves'!$E$2:$E$46,MAX(1,MIN(44,IFERROR(MATCH(W91,'Earth curves'!$E$2:$E$46,1),1)))+1)-INDEX('Earth curves'!$E$2:$E$46,MAX(1,MIN(44,IFERROR(MATCH(W91,'Earth curves'!$E$2:$E$46,1),1))))))</f>
        <v/>
      </c>
      <c r="Z91" s="6">
        <f>(MIN(X91/Config!$B$9,1)+MIN(Y91/Config!$B$10,1))/2</f>
        <v/>
      </c>
      <c r="AA91" s="10">
        <f>ROUND(MIN(22,MAX(3,X91*W91/Z91)),1)</f>
        <v/>
      </c>
      <c r="AB91" s="11" t="n"/>
      <c r="AC91" s="10">
        <f>IF(AB91="",AA91,AB91)</f>
        <v/>
      </c>
      <c r="AD91" s="10">
        <f>ROUND(MIN(Config!$B$10,MAX(1,Y91*W91/Z91)),1)</f>
        <v/>
      </c>
      <c r="AE91" s="11" t="n"/>
      <c r="AF91" s="10">
        <f>IF(AE91="",AD91,AE91)</f>
        <v/>
      </c>
      <c r="AG91" s="9">
        <f>(V91-Config!$B$7)/(Config!$B$8-Config!$B$7)</f>
        <v/>
      </c>
      <c r="AH91" s="9">
        <f>(MIN(AC91/Config!$B$9,1)+MIN(AF91/Config!$B$10,1))/2</f>
        <v/>
      </c>
      <c r="AI91" s="12">
        <f>ROUND((AG91*AH91*G91)^(1/3),3)</f>
        <v/>
      </c>
      <c r="AJ91" s="12" t="n">
        <v>0.71</v>
      </c>
      <c r="AK91" s="13">
        <f>AI91-AJ91</f>
        <v/>
      </c>
      <c r="AL91" s="13">
        <f>AK91-AVERAGE($AK$2:$AK$173)</f>
        <v/>
      </c>
      <c r="AM91" s="6">
        <f>IF(ABS(AL91)&gt;Config!$B$11,"REVIEW","")</f>
        <v/>
      </c>
      <c r="AN91" s="14">
        <f>RANK(AI91,$AI$2:$AI$173)</f>
        <v/>
      </c>
      <c r="AO91" s="14">
        <f>RANK(AJ91,$AJ$2:$AJ$173)</f>
        <v/>
      </c>
      <c r="AP91" s="14" t="n">
        <v>91</v>
      </c>
    </row>
    <row r="92">
      <c r="A92" s="6" t="inlineStr">
        <is>
          <t>Niretui and Anulan</t>
        </is>
      </c>
      <c r="B92" s="6" t="inlineStr">
        <is>
          <t>New Ayre</t>
        </is>
      </c>
      <c r="C92" s="6" t="inlineStr">
        <is>
          <t>microstate</t>
        </is>
      </c>
      <c r="D92" s="7" t="n">
        <v>86032</v>
      </c>
      <c r="E92" s="8">
        <f>D92*Config!$B$4</f>
        <v/>
      </c>
      <c r="F92" s="6">
        <f>LN(MAX(60,E92))</f>
        <v/>
      </c>
      <c r="G92" s="9">
        <f>MEDIAN(0,(F92-LN(Config!$B$5))/(LN(Config!$B$6)-LN(Config!$B$5)),1)</f>
        <v/>
      </c>
      <c r="H92" s="6">
        <f>MOD((Config!$B$2+$AP92*7919)*9301+49297,233280)/233280</f>
        <v/>
      </c>
      <c r="I92" s="6">
        <f>MOD((Config!$B$2+$AP92*104729)*4096+150889,714025)/714025</f>
        <v/>
      </c>
      <c r="J92" s="6">
        <f>MOD((Config!$B$2*31+$AP92*15485863)*1366+150889,714025)/714025</f>
        <v/>
      </c>
      <c r="K92" s="6" t="n"/>
      <c r="L92" s="6" t="n"/>
      <c r="M92" s="6">
        <f>COUNTIF(Siblings!$A$2:$A$84,B92)</f>
        <v/>
      </c>
      <c r="N92" s="6">
        <f>1+INT(J92*M92)</f>
        <v/>
      </c>
      <c r="O92" s="6">
        <f>IF(K92&lt;&gt;"",K92,IFERROR(INDEX(Siblings!$D$2:$D$84,MATCH(B92&amp;"|"&amp;N92,Siblings!$F$2:$F$84,0)),0))</f>
        <v/>
      </c>
      <c r="P92" s="6">
        <f>IF(L92&lt;&gt;"",L92,IFERROR(INDEX(Siblings!$E$2:$E$84,MATCH(B92&amp;"|"&amp;N92,Siblings!$F$2:$F$84,0)),0))</f>
        <v/>
      </c>
      <c r="Q92" s="6">
        <f>(INDEX('Earth curves'!$B$2:$B$46,MAX(1,MIN(44,IFERROR(MATCH(F92,'Earth curves'!$A$2:$A$46,1),1))))+(F92-INDEX('Earth curves'!$A$2:$A$46,MAX(1,MIN(44,IFERROR(MATCH(F92,'Earth curves'!$A$2:$A$46,1),1)))))*(INDEX('Earth curves'!$B$2:$B$46,MAX(1,MIN(44,IFERROR(MATCH(F92,'Earth curves'!$A$2:$A$46,1),1)))+1)-INDEX('Earth curves'!$B$2:$B$46,MAX(1,MIN(44,IFERROR(MATCH(F92,'Earth curves'!$A$2:$A$46,1),1)))))/(INDEX('Earth curves'!$A$2:$A$46,MAX(1,MIN(44,IFERROR(MATCH(F92,'Earth curves'!$A$2:$A$46,1),1)))+1)-INDEX('Earth curves'!$A$2:$A$46,MAX(1,MIN(44,IFERROR(MATCH(F92,'Earth curves'!$A$2:$A$46,1),1))))))</f>
        <v/>
      </c>
      <c r="R92" s="6">
        <f>(INDEX('Earth curves'!$C$2:$C$46,MAX(1,MIN(44,IFERROR(MATCH(F92,'Earth curves'!$A$2:$A$46,1),1))))+(F92-INDEX('Earth curves'!$A$2:$A$46,MAX(1,MIN(44,IFERROR(MATCH(F92,'Earth curves'!$A$2:$A$46,1),1)))))*(INDEX('Earth curves'!$C$2:$C$46,MAX(1,MIN(44,IFERROR(MATCH(F92,'Earth curves'!$A$2:$A$46,1),1)))+1)-INDEX('Earth curves'!$C$2:$C$46,MAX(1,MIN(44,IFERROR(MATCH(F92,'Earth curves'!$A$2:$A$46,1),1)))))/(INDEX('Earth curves'!$A$2:$A$46,MAX(1,MIN(44,IFERROR(MATCH(F92,'Earth curves'!$A$2:$A$46,1),1)))+1)-INDEX('Earth curves'!$A$2:$A$46,MAX(1,MIN(44,IFERROR(MATCH(F92,'Earth curves'!$A$2:$A$46,1),1))))))</f>
        <v/>
      </c>
      <c r="S92" s="6">
        <f>MEDIAN(0.307692,Q92+MEDIAN(-0.350583,O92+NORMSINV(H92)*0.064828*Config!$B$3,0.120277),0.993846)</f>
        <v/>
      </c>
      <c r="T92" s="10">
        <f>ROUND(Config!$B$7+(Config!$B$8-Config!$B$7)*S92,1)</f>
        <v/>
      </c>
      <c r="U92" s="11" t="n"/>
      <c r="V92" s="10">
        <f>IF(U92="",T92,U92)</f>
        <v/>
      </c>
      <c r="W92" s="6">
        <f>MEDIAN(0.05,R92+MEDIAN(-0.302219,P92+NORMSINV(I92)*0.089531*Config!$B$3,0.274961),0.999)</f>
        <v/>
      </c>
      <c r="X92" s="6">
        <f>(INDEX('Earth curves'!$F$2:$F$46,MAX(1,MIN(44,IFERROR(MATCH(W92,'Earth curves'!$E$2:$E$46,1),1))))+(W92-INDEX('Earth curves'!$E$2:$E$46,MAX(1,MIN(44,IFERROR(MATCH(W92,'Earth curves'!$E$2:$E$46,1),1)))))*(INDEX('Earth curves'!$F$2:$F$46,MAX(1,MIN(44,IFERROR(MATCH(W92,'Earth curves'!$E$2:$E$46,1),1)))+1)-INDEX('Earth curves'!$F$2:$F$46,MAX(1,MIN(44,IFERROR(MATCH(W92,'Earth curves'!$E$2:$E$46,1),1)))))/(INDEX('Earth curves'!$E$2:$E$46,MAX(1,MIN(44,IFERROR(MATCH(W92,'Earth curves'!$E$2:$E$46,1),1)))+1)-INDEX('Earth curves'!$E$2:$E$46,MAX(1,MIN(44,IFERROR(MATCH(W92,'Earth curves'!$E$2:$E$46,1),1))))))</f>
        <v/>
      </c>
      <c r="Y92" s="6">
        <f>(INDEX('Earth curves'!$G$2:$G$46,MAX(1,MIN(44,IFERROR(MATCH(W92,'Earth curves'!$E$2:$E$46,1),1))))+(W92-INDEX('Earth curves'!$E$2:$E$46,MAX(1,MIN(44,IFERROR(MATCH(W92,'Earth curves'!$E$2:$E$46,1),1)))))*(INDEX('Earth curves'!$G$2:$G$46,MAX(1,MIN(44,IFERROR(MATCH(W92,'Earth curves'!$E$2:$E$46,1),1)))+1)-INDEX('Earth curves'!$G$2:$G$46,MAX(1,MIN(44,IFERROR(MATCH(W92,'Earth curves'!$E$2:$E$46,1),1)))))/(INDEX('Earth curves'!$E$2:$E$46,MAX(1,MIN(44,IFERROR(MATCH(W92,'Earth curves'!$E$2:$E$46,1),1)))+1)-INDEX('Earth curves'!$E$2:$E$46,MAX(1,MIN(44,IFERROR(MATCH(W92,'Earth curves'!$E$2:$E$46,1),1))))))</f>
        <v/>
      </c>
      <c r="Z92" s="6">
        <f>(MIN(X92/Config!$B$9,1)+MIN(Y92/Config!$B$10,1))/2</f>
        <v/>
      </c>
      <c r="AA92" s="10">
        <f>ROUND(MIN(22,MAX(3,X92*W92/Z92)),1)</f>
        <v/>
      </c>
      <c r="AB92" s="11" t="n"/>
      <c r="AC92" s="10">
        <f>IF(AB92="",AA92,AB92)</f>
        <v/>
      </c>
      <c r="AD92" s="10">
        <f>ROUND(MIN(Config!$B$10,MAX(1,Y92*W92/Z92)),1)</f>
        <v/>
      </c>
      <c r="AE92" s="11" t="n"/>
      <c r="AF92" s="10">
        <f>IF(AE92="",AD92,AE92)</f>
        <v/>
      </c>
      <c r="AG92" s="9">
        <f>(V92-Config!$B$7)/(Config!$B$8-Config!$B$7)</f>
        <v/>
      </c>
      <c r="AH92" s="9">
        <f>(MIN(AC92/Config!$B$9,1)+MIN(AF92/Config!$B$10,1))/2</f>
        <v/>
      </c>
      <c r="AI92" s="12">
        <f>ROUND((AG92*AH92*G92)^(1/3),3)</f>
        <v/>
      </c>
      <c r="AJ92" s="12" t="n">
        <v>0.827</v>
      </c>
      <c r="AK92" s="13">
        <f>AI92-AJ92</f>
        <v/>
      </c>
      <c r="AL92" s="13">
        <f>AK92-AVERAGE($AK$2:$AK$173)</f>
        <v/>
      </c>
      <c r="AM92" s="6">
        <f>IF(ABS(AL92)&gt;Config!$B$11,"REVIEW","")</f>
        <v/>
      </c>
      <c r="AN92" s="14">
        <f>RANK(AI92,$AI$2:$AI$173)</f>
        <v/>
      </c>
      <c r="AO92" s="14">
        <f>RANK(AJ92,$AJ$2:$AJ$173)</f>
        <v/>
      </c>
      <c r="AP92" s="14" t="n">
        <v>92</v>
      </c>
    </row>
    <row r="93">
      <c r="A93" s="6" t="inlineStr">
        <is>
          <t>Niul Spijan</t>
        </is>
      </c>
      <c r="B93" s="6" t="inlineStr">
        <is>
          <t>Ayuma</t>
        </is>
      </c>
      <c r="C93" s="6" t="inlineStr">
        <is>
          <t>militarised</t>
        </is>
      </c>
      <c r="D93" s="7" t="n">
        <v>27619</v>
      </c>
      <c r="E93" s="8">
        <f>D93*Config!$B$4</f>
        <v/>
      </c>
      <c r="F93" s="6">
        <f>LN(MAX(60,E93))</f>
        <v/>
      </c>
      <c r="G93" s="9">
        <f>MEDIAN(0,(F93-LN(Config!$B$5))/(LN(Config!$B$6)-LN(Config!$B$5)),1)</f>
        <v/>
      </c>
      <c r="H93" s="6">
        <f>MOD((Config!$B$2+$AP93*7919)*9301+49297,233280)/233280</f>
        <v/>
      </c>
      <c r="I93" s="6">
        <f>MOD((Config!$B$2+$AP93*104729)*4096+150889,714025)/714025</f>
        <v/>
      </c>
      <c r="J93" s="6">
        <f>MOD((Config!$B$2*31+$AP93*15485863)*1366+150889,714025)/714025</f>
        <v/>
      </c>
      <c r="K93" s="6" t="n"/>
      <c r="L93" s="6" t="n"/>
      <c r="M93" s="6">
        <f>COUNTIF(Siblings!$A$2:$A$84,B93)</f>
        <v/>
      </c>
      <c r="N93" s="6">
        <f>1+INT(J93*M93)</f>
        <v/>
      </c>
      <c r="O93" s="6">
        <f>IF(K93&lt;&gt;"",K93,IFERROR(INDEX(Siblings!$D$2:$D$84,MATCH(B93&amp;"|"&amp;N93,Siblings!$F$2:$F$84,0)),0))</f>
        <v/>
      </c>
      <c r="P93" s="6">
        <f>IF(L93&lt;&gt;"",L93,IFERROR(INDEX(Siblings!$E$2:$E$84,MATCH(B93&amp;"|"&amp;N93,Siblings!$F$2:$F$84,0)),0))</f>
        <v/>
      </c>
      <c r="Q93" s="6">
        <f>(INDEX('Earth curves'!$B$2:$B$46,MAX(1,MIN(44,IFERROR(MATCH(F93,'Earth curves'!$A$2:$A$46,1),1))))+(F93-INDEX('Earth curves'!$A$2:$A$46,MAX(1,MIN(44,IFERROR(MATCH(F93,'Earth curves'!$A$2:$A$46,1),1)))))*(INDEX('Earth curves'!$B$2:$B$46,MAX(1,MIN(44,IFERROR(MATCH(F93,'Earth curves'!$A$2:$A$46,1),1)))+1)-INDEX('Earth curves'!$B$2:$B$46,MAX(1,MIN(44,IFERROR(MATCH(F93,'Earth curves'!$A$2:$A$46,1),1)))))/(INDEX('Earth curves'!$A$2:$A$46,MAX(1,MIN(44,IFERROR(MATCH(F93,'Earth curves'!$A$2:$A$46,1),1)))+1)-INDEX('Earth curves'!$A$2:$A$46,MAX(1,MIN(44,IFERROR(MATCH(F93,'Earth curves'!$A$2:$A$46,1),1))))))</f>
        <v/>
      </c>
      <c r="R93" s="6">
        <f>(INDEX('Earth curves'!$C$2:$C$46,MAX(1,MIN(44,IFERROR(MATCH(F93,'Earth curves'!$A$2:$A$46,1),1))))+(F93-INDEX('Earth curves'!$A$2:$A$46,MAX(1,MIN(44,IFERROR(MATCH(F93,'Earth curves'!$A$2:$A$46,1),1)))))*(INDEX('Earth curves'!$C$2:$C$46,MAX(1,MIN(44,IFERROR(MATCH(F93,'Earth curves'!$A$2:$A$46,1),1)))+1)-INDEX('Earth curves'!$C$2:$C$46,MAX(1,MIN(44,IFERROR(MATCH(F93,'Earth curves'!$A$2:$A$46,1),1)))))/(INDEX('Earth curves'!$A$2:$A$46,MAX(1,MIN(44,IFERROR(MATCH(F93,'Earth curves'!$A$2:$A$46,1),1)))+1)-INDEX('Earth curves'!$A$2:$A$46,MAX(1,MIN(44,IFERROR(MATCH(F93,'Earth curves'!$A$2:$A$46,1),1))))))</f>
        <v/>
      </c>
      <c r="S93" s="6">
        <f>MEDIAN(0.307692,Q93+MEDIAN(-0.350583,O93+NORMSINV(H93)*0.064828*Config!$B$3,0.120277),0.993846)</f>
        <v/>
      </c>
      <c r="T93" s="10">
        <f>ROUND(Config!$B$7+(Config!$B$8-Config!$B$7)*S93,1)</f>
        <v/>
      </c>
      <c r="U93" s="11" t="n"/>
      <c r="V93" s="10">
        <f>IF(U93="",T93,U93)</f>
        <v/>
      </c>
      <c r="W93" s="6">
        <f>MEDIAN(0.05,R93+MEDIAN(-0.302219,P93+NORMSINV(I93)*0.089531*Config!$B$3,0.274961),0.999)</f>
        <v/>
      </c>
      <c r="X93" s="6">
        <f>(INDEX('Earth curves'!$F$2:$F$46,MAX(1,MIN(44,IFERROR(MATCH(W93,'Earth curves'!$E$2:$E$46,1),1))))+(W93-INDEX('Earth curves'!$E$2:$E$46,MAX(1,MIN(44,IFERROR(MATCH(W93,'Earth curves'!$E$2:$E$46,1),1)))))*(INDEX('Earth curves'!$F$2:$F$46,MAX(1,MIN(44,IFERROR(MATCH(W93,'Earth curves'!$E$2:$E$46,1),1)))+1)-INDEX('Earth curves'!$F$2:$F$46,MAX(1,MIN(44,IFERROR(MATCH(W93,'Earth curves'!$E$2:$E$46,1),1)))))/(INDEX('Earth curves'!$E$2:$E$46,MAX(1,MIN(44,IFERROR(MATCH(W93,'Earth curves'!$E$2:$E$46,1),1)))+1)-INDEX('Earth curves'!$E$2:$E$46,MAX(1,MIN(44,IFERROR(MATCH(W93,'Earth curves'!$E$2:$E$46,1),1))))))</f>
        <v/>
      </c>
      <c r="Y93" s="6">
        <f>(INDEX('Earth curves'!$G$2:$G$46,MAX(1,MIN(44,IFERROR(MATCH(W93,'Earth curves'!$E$2:$E$46,1),1))))+(W93-INDEX('Earth curves'!$E$2:$E$46,MAX(1,MIN(44,IFERROR(MATCH(W93,'Earth curves'!$E$2:$E$46,1),1)))))*(INDEX('Earth curves'!$G$2:$G$46,MAX(1,MIN(44,IFERROR(MATCH(W93,'Earth curves'!$E$2:$E$46,1),1)))+1)-INDEX('Earth curves'!$G$2:$G$46,MAX(1,MIN(44,IFERROR(MATCH(W93,'Earth curves'!$E$2:$E$46,1),1)))))/(INDEX('Earth curves'!$E$2:$E$46,MAX(1,MIN(44,IFERROR(MATCH(W93,'Earth curves'!$E$2:$E$46,1),1)))+1)-INDEX('Earth curves'!$E$2:$E$46,MAX(1,MIN(44,IFERROR(MATCH(W93,'Earth curves'!$E$2:$E$46,1),1))))))</f>
        <v/>
      </c>
      <c r="Z93" s="6">
        <f>(MIN(X93/Config!$B$9,1)+MIN(Y93/Config!$B$10,1))/2</f>
        <v/>
      </c>
      <c r="AA93" s="10">
        <f>ROUND(MIN(22,MAX(3,X93*W93/Z93)),1)</f>
        <v/>
      </c>
      <c r="AB93" s="11" t="n"/>
      <c r="AC93" s="10">
        <f>IF(AB93="",AA93,AB93)</f>
        <v/>
      </c>
      <c r="AD93" s="10">
        <f>ROUND(MIN(Config!$B$10,MAX(1,Y93*W93/Z93)),1)</f>
        <v/>
      </c>
      <c r="AE93" s="11" t="n"/>
      <c r="AF93" s="10">
        <f>IF(AE93="",AD93,AE93)</f>
        <v/>
      </c>
      <c r="AG93" s="9">
        <f>(V93-Config!$B$7)/(Config!$B$8-Config!$B$7)</f>
        <v/>
      </c>
      <c r="AH93" s="9">
        <f>(MIN(AC93/Config!$B$9,1)+MIN(AF93/Config!$B$10,1))/2</f>
        <v/>
      </c>
      <c r="AI93" s="12">
        <f>ROUND((AG93*AH93*G93)^(1/3),3)</f>
        <v/>
      </c>
      <c r="AJ93" s="12" t="n">
        <v>0.5620000000000001</v>
      </c>
      <c r="AK93" s="13">
        <f>AI93-AJ93</f>
        <v/>
      </c>
      <c r="AL93" s="13">
        <f>AK93-AVERAGE($AK$2:$AK$173)</f>
        <v/>
      </c>
      <c r="AM93" s="6">
        <f>IF(ABS(AL93)&gt;Config!$B$11,"REVIEW","")</f>
        <v/>
      </c>
      <c r="AN93" s="14">
        <f>RANK(AI93,$AI$2:$AI$173)</f>
        <v/>
      </c>
      <c r="AO93" s="14">
        <f>RANK(AJ93,$AJ$2:$AJ$173)</f>
        <v/>
      </c>
      <c r="AP93" s="14" t="n">
        <v>93</v>
      </c>
    </row>
    <row r="94">
      <c r="A94" s="6" t="inlineStr">
        <is>
          <t>North Ayre</t>
        </is>
      </c>
      <c r="B94" s="6" t="inlineStr">
        <is>
          <t>Massir</t>
        </is>
      </c>
      <c r="C94" s="6" t="inlineStr">
        <is>
          <t>resource</t>
        </is>
      </c>
      <c r="D94" s="7" t="n">
        <v>84127</v>
      </c>
      <c r="E94" s="8">
        <f>D94*Config!$B$4</f>
        <v/>
      </c>
      <c r="F94" s="6">
        <f>LN(MAX(60,E94))</f>
        <v/>
      </c>
      <c r="G94" s="9">
        <f>MEDIAN(0,(F94-LN(Config!$B$5))/(LN(Config!$B$6)-LN(Config!$B$5)),1)</f>
        <v/>
      </c>
      <c r="H94" s="6">
        <f>MOD((Config!$B$2+$AP94*7919)*9301+49297,233280)/233280</f>
        <v/>
      </c>
      <c r="I94" s="6">
        <f>MOD((Config!$B$2+$AP94*104729)*4096+150889,714025)/714025</f>
        <v/>
      </c>
      <c r="J94" s="6">
        <f>MOD((Config!$B$2*31+$AP94*15485863)*1366+150889,714025)/714025</f>
        <v/>
      </c>
      <c r="K94" s="6" t="n">
        <v>-0.011179</v>
      </c>
      <c r="L94" s="6" t="n">
        <v>-0.003109</v>
      </c>
      <c r="M94" s="6">
        <f>COUNTIF(Siblings!$A$2:$A$84,B94)</f>
        <v/>
      </c>
      <c r="N94" s="6">
        <f>1+INT(J94*M94)</f>
        <v/>
      </c>
      <c r="O94" s="6">
        <f>IF(K94&lt;&gt;"",K94,IFERROR(INDEX(Siblings!$D$2:$D$84,MATCH(B94&amp;"|"&amp;N94,Siblings!$F$2:$F$84,0)),0))</f>
        <v/>
      </c>
      <c r="P94" s="6">
        <f>IF(L94&lt;&gt;"",L94,IFERROR(INDEX(Siblings!$E$2:$E$84,MATCH(B94&amp;"|"&amp;N94,Siblings!$F$2:$F$84,0)),0))</f>
        <v/>
      </c>
      <c r="Q94" s="6">
        <f>(INDEX('Earth curves'!$B$2:$B$46,MAX(1,MIN(44,IFERROR(MATCH(F94,'Earth curves'!$A$2:$A$46,1),1))))+(F94-INDEX('Earth curves'!$A$2:$A$46,MAX(1,MIN(44,IFERROR(MATCH(F94,'Earth curves'!$A$2:$A$46,1),1)))))*(INDEX('Earth curves'!$B$2:$B$46,MAX(1,MIN(44,IFERROR(MATCH(F94,'Earth curves'!$A$2:$A$46,1),1)))+1)-INDEX('Earth curves'!$B$2:$B$46,MAX(1,MIN(44,IFERROR(MATCH(F94,'Earth curves'!$A$2:$A$46,1),1)))))/(INDEX('Earth curves'!$A$2:$A$46,MAX(1,MIN(44,IFERROR(MATCH(F94,'Earth curves'!$A$2:$A$46,1),1)))+1)-INDEX('Earth curves'!$A$2:$A$46,MAX(1,MIN(44,IFERROR(MATCH(F94,'Earth curves'!$A$2:$A$46,1),1))))))</f>
        <v/>
      </c>
      <c r="R94" s="6">
        <f>(INDEX('Earth curves'!$C$2:$C$46,MAX(1,MIN(44,IFERROR(MATCH(F94,'Earth curves'!$A$2:$A$46,1),1))))+(F94-INDEX('Earth curves'!$A$2:$A$46,MAX(1,MIN(44,IFERROR(MATCH(F94,'Earth curves'!$A$2:$A$46,1),1)))))*(INDEX('Earth curves'!$C$2:$C$46,MAX(1,MIN(44,IFERROR(MATCH(F94,'Earth curves'!$A$2:$A$46,1),1)))+1)-INDEX('Earth curves'!$C$2:$C$46,MAX(1,MIN(44,IFERROR(MATCH(F94,'Earth curves'!$A$2:$A$46,1),1)))))/(INDEX('Earth curves'!$A$2:$A$46,MAX(1,MIN(44,IFERROR(MATCH(F94,'Earth curves'!$A$2:$A$46,1),1)))+1)-INDEX('Earth curves'!$A$2:$A$46,MAX(1,MIN(44,IFERROR(MATCH(F94,'Earth curves'!$A$2:$A$46,1),1))))))</f>
        <v/>
      </c>
      <c r="S94" s="6">
        <f>MEDIAN(0.307692,Q94+MEDIAN(-0.350583,O94+NORMSINV(H94)*0.064828*Config!$B$3,0.120277),0.993846)</f>
        <v/>
      </c>
      <c r="T94" s="10">
        <f>ROUND(Config!$B$7+(Config!$B$8-Config!$B$7)*S94,1)</f>
        <v/>
      </c>
      <c r="U94" s="11" t="n"/>
      <c r="V94" s="10">
        <f>IF(U94="",T94,U94)</f>
        <v/>
      </c>
      <c r="W94" s="6">
        <f>MEDIAN(0.05,R94+MEDIAN(-0.302219,P94+NORMSINV(I94)*0.089531*Config!$B$3,0.274961),0.999)</f>
        <v/>
      </c>
      <c r="X94" s="6">
        <f>(INDEX('Earth curves'!$F$2:$F$46,MAX(1,MIN(44,IFERROR(MATCH(W94,'Earth curves'!$E$2:$E$46,1),1))))+(W94-INDEX('Earth curves'!$E$2:$E$46,MAX(1,MIN(44,IFERROR(MATCH(W94,'Earth curves'!$E$2:$E$46,1),1)))))*(INDEX('Earth curves'!$F$2:$F$46,MAX(1,MIN(44,IFERROR(MATCH(W94,'Earth curves'!$E$2:$E$46,1),1)))+1)-INDEX('Earth curves'!$F$2:$F$46,MAX(1,MIN(44,IFERROR(MATCH(W94,'Earth curves'!$E$2:$E$46,1),1)))))/(INDEX('Earth curves'!$E$2:$E$46,MAX(1,MIN(44,IFERROR(MATCH(W94,'Earth curves'!$E$2:$E$46,1),1)))+1)-INDEX('Earth curves'!$E$2:$E$46,MAX(1,MIN(44,IFERROR(MATCH(W94,'Earth curves'!$E$2:$E$46,1),1))))))</f>
        <v/>
      </c>
      <c r="Y94" s="6">
        <f>(INDEX('Earth curves'!$G$2:$G$46,MAX(1,MIN(44,IFERROR(MATCH(W94,'Earth curves'!$E$2:$E$46,1),1))))+(W94-INDEX('Earth curves'!$E$2:$E$46,MAX(1,MIN(44,IFERROR(MATCH(W94,'Earth curves'!$E$2:$E$46,1),1)))))*(INDEX('Earth curves'!$G$2:$G$46,MAX(1,MIN(44,IFERROR(MATCH(W94,'Earth curves'!$E$2:$E$46,1),1)))+1)-INDEX('Earth curves'!$G$2:$G$46,MAX(1,MIN(44,IFERROR(MATCH(W94,'Earth curves'!$E$2:$E$46,1),1)))))/(INDEX('Earth curves'!$E$2:$E$46,MAX(1,MIN(44,IFERROR(MATCH(W94,'Earth curves'!$E$2:$E$46,1),1)))+1)-INDEX('Earth curves'!$E$2:$E$46,MAX(1,MIN(44,IFERROR(MATCH(W94,'Earth curves'!$E$2:$E$46,1),1))))))</f>
        <v/>
      </c>
      <c r="Z94" s="6">
        <f>(MIN(X94/Config!$B$9,1)+MIN(Y94/Config!$B$10,1))/2</f>
        <v/>
      </c>
      <c r="AA94" s="10">
        <f>ROUND(MIN(22,MAX(3,X94*W94/Z94)),1)</f>
        <v/>
      </c>
      <c r="AB94" s="11" t="n"/>
      <c r="AC94" s="10">
        <f>IF(AB94="",AA94,AB94)</f>
        <v/>
      </c>
      <c r="AD94" s="10">
        <f>ROUND(MIN(Config!$B$10,MAX(1,Y94*W94/Z94)),1)</f>
        <v/>
      </c>
      <c r="AE94" s="11" t="n"/>
      <c r="AF94" s="10">
        <f>IF(AE94="",AD94,AE94)</f>
        <v/>
      </c>
      <c r="AG94" s="9">
        <f>(V94-Config!$B$7)/(Config!$B$8-Config!$B$7)</f>
        <v/>
      </c>
      <c r="AH94" s="9">
        <f>(MIN(AC94/Config!$B$9,1)+MIN(AF94/Config!$B$10,1))/2</f>
        <v/>
      </c>
      <c r="AI94" s="12">
        <f>ROUND((AG94*AH94*G94)^(1/3),3)</f>
        <v/>
      </c>
      <c r="AJ94" s="12" t="n">
        <v>0.758</v>
      </c>
      <c r="AK94" s="13">
        <f>AI94-AJ94</f>
        <v/>
      </c>
      <c r="AL94" s="13">
        <f>AK94-AVERAGE($AK$2:$AK$173)</f>
        <v/>
      </c>
      <c r="AM94" s="6">
        <f>IF(ABS(AL94)&gt;Config!$B$11,"REVIEW","")</f>
        <v/>
      </c>
      <c r="AN94" s="14">
        <f>RANK(AI94,$AI$2:$AI$173)</f>
        <v/>
      </c>
      <c r="AO94" s="14">
        <f>RANK(AJ94,$AJ$2:$AJ$173)</f>
        <v/>
      </c>
      <c r="AP94" s="14" t="n">
        <v>94</v>
      </c>
    </row>
    <row r="95">
      <c r="A95" s="6" t="inlineStr">
        <is>
          <t>Ocaun</t>
        </is>
      </c>
      <c r="B95" s="6" t="inlineStr">
        <is>
          <t>Mahea</t>
        </is>
      </c>
      <c r="C95" s="6" t="inlineStr">
        <is>
          <t>militarised, resource</t>
        </is>
      </c>
      <c r="D95" s="7" t="n">
        <v>3905</v>
      </c>
      <c r="E95" s="8">
        <f>D95*Config!$B$4</f>
        <v/>
      </c>
      <c r="F95" s="6">
        <f>LN(MAX(60,E95))</f>
        <v/>
      </c>
      <c r="G95" s="9">
        <f>MEDIAN(0,(F95-LN(Config!$B$5))/(LN(Config!$B$6)-LN(Config!$B$5)),1)</f>
        <v/>
      </c>
      <c r="H95" s="6">
        <f>MOD((Config!$B$2+$AP95*7919)*9301+49297,233280)/233280</f>
        <v/>
      </c>
      <c r="I95" s="6">
        <f>MOD((Config!$B$2+$AP95*104729)*4096+150889,714025)/714025</f>
        <v/>
      </c>
      <c r="J95" s="6">
        <f>MOD((Config!$B$2*31+$AP95*15485863)*1366+150889,714025)/714025</f>
        <v/>
      </c>
      <c r="K95" s="6" t="n"/>
      <c r="L95" s="6" t="n"/>
      <c r="M95" s="6">
        <f>COUNTIF(Siblings!$A$2:$A$84,B95)</f>
        <v/>
      </c>
      <c r="N95" s="6">
        <f>1+INT(J95*M95)</f>
        <v/>
      </c>
      <c r="O95" s="6">
        <f>IF(K95&lt;&gt;"",K95,IFERROR(INDEX(Siblings!$D$2:$D$84,MATCH(B95&amp;"|"&amp;N95,Siblings!$F$2:$F$84,0)),0))</f>
        <v/>
      </c>
      <c r="P95" s="6">
        <f>IF(L95&lt;&gt;"",L95,IFERROR(INDEX(Siblings!$E$2:$E$84,MATCH(B95&amp;"|"&amp;N95,Siblings!$F$2:$F$84,0)),0))</f>
        <v/>
      </c>
      <c r="Q95" s="6">
        <f>(INDEX('Earth curves'!$B$2:$B$46,MAX(1,MIN(44,IFERROR(MATCH(F95,'Earth curves'!$A$2:$A$46,1),1))))+(F95-INDEX('Earth curves'!$A$2:$A$46,MAX(1,MIN(44,IFERROR(MATCH(F95,'Earth curves'!$A$2:$A$46,1),1)))))*(INDEX('Earth curves'!$B$2:$B$46,MAX(1,MIN(44,IFERROR(MATCH(F95,'Earth curves'!$A$2:$A$46,1),1)))+1)-INDEX('Earth curves'!$B$2:$B$46,MAX(1,MIN(44,IFERROR(MATCH(F95,'Earth curves'!$A$2:$A$46,1),1)))))/(INDEX('Earth curves'!$A$2:$A$46,MAX(1,MIN(44,IFERROR(MATCH(F95,'Earth curves'!$A$2:$A$46,1),1)))+1)-INDEX('Earth curves'!$A$2:$A$46,MAX(1,MIN(44,IFERROR(MATCH(F95,'Earth curves'!$A$2:$A$46,1),1))))))</f>
        <v/>
      </c>
      <c r="R95" s="6">
        <f>(INDEX('Earth curves'!$C$2:$C$46,MAX(1,MIN(44,IFERROR(MATCH(F95,'Earth curves'!$A$2:$A$46,1),1))))+(F95-INDEX('Earth curves'!$A$2:$A$46,MAX(1,MIN(44,IFERROR(MATCH(F95,'Earth curves'!$A$2:$A$46,1),1)))))*(INDEX('Earth curves'!$C$2:$C$46,MAX(1,MIN(44,IFERROR(MATCH(F95,'Earth curves'!$A$2:$A$46,1),1)))+1)-INDEX('Earth curves'!$C$2:$C$46,MAX(1,MIN(44,IFERROR(MATCH(F95,'Earth curves'!$A$2:$A$46,1),1)))))/(INDEX('Earth curves'!$A$2:$A$46,MAX(1,MIN(44,IFERROR(MATCH(F95,'Earth curves'!$A$2:$A$46,1),1)))+1)-INDEX('Earth curves'!$A$2:$A$46,MAX(1,MIN(44,IFERROR(MATCH(F95,'Earth curves'!$A$2:$A$46,1),1))))))</f>
        <v/>
      </c>
      <c r="S95" s="6">
        <f>MEDIAN(0.307692,Q95+MEDIAN(-0.350583,O95+NORMSINV(H95)*0.064828*Config!$B$3,0.120277),0.993846)</f>
        <v/>
      </c>
      <c r="T95" s="10">
        <f>ROUND(Config!$B$7+(Config!$B$8-Config!$B$7)*S95,1)</f>
        <v/>
      </c>
      <c r="U95" s="11" t="n"/>
      <c r="V95" s="10">
        <f>IF(U95="",T95,U95)</f>
        <v/>
      </c>
      <c r="W95" s="6">
        <f>MEDIAN(0.05,R95+MEDIAN(-0.302219,P95+NORMSINV(I95)*0.089531*Config!$B$3,0.274961),0.999)</f>
        <v/>
      </c>
      <c r="X95" s="6">
        <f>(INDEX('Earth curves'!$F$2:$F$46,MAX(1,MIN(44,IFERROR(MATCH(W95,'Earth curves'!$E$2:$E$46,1),1))))+(W95-INDEX('Earth curves'!$E$2:$E$46,MAX(1,MIN(44,IFERROR(MATCH(W95,'Earth curves'!$E$2:$E$46,1),1)))))*(INDEX('Earth curves'!$F$2:$F$46,MAX(1,MIN(44,IFERROR(MATCH(W95,'Earth curves'!$E$2:$E$46,1),1)))+1)-INDEX('Earth curves'!$F$2:$F$46,MAX(1,MIN(44,IFERROR(MATCH(W95,'Earth curves'!$E$2:$E$46,1),1)))))/(INDEX('Earth curves'!$E$2:$E$46,MAX(1,MIN(44,IFERROR(MATCH(W95,'Earth curves'!$E$2:$E$46,1),1)))+1)-INDEX('Earth curves'!$E$2:$E$46,MAX(1,MIN(44,IFERROR(MATCH(W95,'Earth curves'!$E$2:$E$46,1),1))))))</f>
        <v/>
      </c>
      <c r="Y95" s="6">
        <f>(INDEX('Earth curves'!$G$2:$G$46,MAX(1,MIN(44,IFERROR(MATCH(W95,'Earth curves'!$E$2:$E$46,1),1))))+(W95-INDEX('Earth curves'!$E$2:$E$46,MAX(1,MIN(44,IFERROR(MATCH(W95,'Earth curves'!$E$2:$E$46,1),1)))))*(INDEX('Earth curves'!$G$2:$G$46,MAX(1,MIN(44,IFERROR(MATCH(W95,'Earth curves'!$E$2:$E$46,1),1)))+1)-INDEX('Earth curves'!$G$2:$G$46,MAX(1,MIN(44,IFERROR(MATCH(W95,'Earth curves'!$E$2:$E$46,1),1)))))/(INDEX('Earth curves'!$E$2:$E$46,MAX(1,MIN(44,IFERROR(MATCH(W95,'Earth curves'!$E$2:$E$46,1),1)))+1)-INDEX('Earth curves'!$E$2:$E$46,MAX(1,MIN(44,IFERROR(MATCH(W95,'Earth curves'!$E$2:$E$46,1),1))))))</f>
        <v/>
      </c>
      <c r="Z95" s="6">
        <f>(MIN(X95/Config!$B$9,1)+MIN(Y95/Config!$B$10,1))/2</f>
        <v/>
      </c>
      <c r="AA95" s="10">
        <f>ROUND(MIN(22,MAX(3,X95*W95/Z95)),1)</f>
        <v/>
      </c>
      <c r="AB95" s="11" t="n"/>
      <c r="AC95" s="10">
        <f>IF(AB95="",AA95,AB95)</f>
        <v/>
      </c>
      <c r="AD95" s="10">
        <f>ROUND(MIN(Config!$B$10,MAX(1,Y95*W95/Z95)),1)</f>
        <v/>
      </c>
      <c r="AE95" s="11" t="n"/>
      <c r="AF95" s="10">
        <f>IF(AE95="",AD95,AE95)</f>
        <v/>
      </c>
      <c r="AG95" s="9">
        <f>(V95-Config!$B$7)/(Config!$B$8-Config!$B$7)</f>
        <v/>
      </c>
      <c r="AH95" s="9">
        <f>(MIN(AC95/Config!$B$9,1)+MIN(AF95/Config!$B$10,1))/2</f>
        <v/>
      </c>
      <c r="AI95" s="12">
        <f>ROUND((AG95*AH95*G95)^(1/3),3)</f>
        <v/>
      </c>
      <c r="AJ95" s="12" t="n">
        <v>0.396</v>
      </c>
      <c r="AK95" s="13">
        <f>AI95-AJ95</f>
        <v/>
      </c>
      <c r="AL95" s="13">
        <f>AK95-AVERAGE($AK$2:$AK$173)</f>
        <v/>
      </c>
      <c r="AM95" s="6">
        <f>IF(ABS(AL95)&gt;Config!$B$11,"REVIEW","")</f>
        <v/>
      </c>
      <c r="AN95" s="14">
        <f>RANK(AI95,$AI$2:$AI$173)</f>
        <v/>
      </c>
      <c r="AO95" s="14">
        <f>RANK(AJ95,$AJ$2:$AJ$173)</f>
        <v/>
      </c>
      <c r="AP95" s="14" t="n">
        <v>95</v>
      </c>
    </row>
    <row r="96">
      <c r="A96" s="6" t="inlineStr">
        <is>
          <t>Ohtina</t>
        </is>
      </c>
      <c r="B96" s="6" t="inlineStr">
        <is>
          <t>New Ayre</t>
        </is>
      </c>
      <c r="C96" s="6" t="inlineStr">
        <is>
          <t>resource</t>
        </is>
      </c>
      <c r="D96" s="7" t="n">
        <v>70159</v>
      </c>
      <c r="E96" s="8">
        <f>D96*Config!$B$4</f>
        <v/>
      </c>
      <c r="F96" s="6">
        <f>LN(MAX(60,E96))</f>
        <v/>
      </c>
      <c r="G96" s="9">
        <f>MEDIAN(0,(F96-LN(Config!$B$5))/(LN(Config!$B$6)-LN(Config!$B$5)),1)</f>
        <v/>
      </c>
      <c r="H96" s="6">
        <f>MOD((Config!$B$2+$AP96*7919)*9301+49297,233280)/233280</f>
        <v/>
      </c>
      <c r="I96" s="6">
        <f>MOD((Config!$B$2+$AP96*104729)*4096+150889,714025)/714025</f>
        <v/>
      </c>
      <c r="J96" s="6">
        <f>MOD((Config!$B$2*31+$AP96*15485863)*1366+150889,714025)/714025</f>
        <v/>
      </c>
      <c r="K96" s="6" t="n">
        <v>0.06574000000000001</v>
      </c>
      <c r="L96" s="6" t="n">
        <v>0.020623</v>
      </c>
      <c r="M96" s="6">
        <f>COUNTIF(Siblings!$A$2:$A$84,B96)</f>
        <v/>
      </c>
      <c r="N96" s="6">
        <f>1+INT(J96*M96)</f>
        <v/>
      </c>
      <c r="O96" s="6">
        <f>IF(K96&lt;&gt;"",K96,IFERROR(INDEX(Siblings!$D$2:$D$84,MATCH(B96&amp;"|"&amp;N96,Siblings!$F$2:$F$84,0)),0))</f>
        <v/>
      </c>
      <c r="P96" s="6">
        <f>IF(L96&lt;&gt;"",L96,IFERROR(INDEX(Siblings!$E$2:$E$84,MATCH(B96&amp;"|"&amp;N96,Siblings!$F$2:$F$84,0)),0))</f>
        <v/>
      </c>
      <c r="Q96" s="6">
        <f>(INDEX('Earth curves'!$B$2:$B$46,MAX(1,MIN(44,IFERROR(MATCH(F96,'Earth curves'!$A$2:$A$46,1),1))))+(F96-INDEX('Earth curves'!$A$2:$A$46,MAX(1,MIN(44,IFERROR(MATCH(F96,'Earth curves'!$A$2:$A$46,1),1)))))*(INDEX('Earth curves'!$B$2:$B$46,MAX(1,MIN(44,IFERROR(MATCH(F96,'Earth curves'!$A$2:$A$46,1),1)))+1)-INDEX('Earth curves'!$B$2:$B$46,MAX(1,MIN(44,IFERROR(MATCH(F96,'Earth curves'!$A$2:$A$46,1),1)))))/(INDEX('Earth curves'!$A$2:$A$46,MAX(1,MIN(44,IFERROR(MATCH(F96,'Earth curves'!$A$2:$A$46,1),1)))+1)-INDEX('Earth curves'!$A$2:$A$46,MAX(1,MIN(44,IFERROR(MATCH(F96,'Earth curves'!$A$2:$A$46,1),1))))))</f>
        <v/>
      </c>
      <c r="R96" s="6">
        <f>(INDEX('Earth curves'!$C$2:$C$46,MAX(1,MIN(44,IFERROR(MATCH(F96,'Earth curves'!$A$2:$A$46,1),1))))+(F96-INDEX('Earth curves'!$A$2:$A$46,MAX(1,MIN(44,IFERROR(MATCH(F96,'Earth curves'!$A$2:$A$46,1),1)))))*(INDEX('Earth curves'!$C$2:$C$46,MAX(1,MIN(44,IFERROR(MATCH(F96,'Earth curves'!$A$2:$A$46,1),1)))+1)-INDEX('Earth curves'!$C$2:$C$46,MAX(1,MIN(44,IFERROR(MATCH(F96,'Earth curves'!$A$2:$A$46,1),1)))))/(INDEX('Earth curves'!$A$2:$A$46,MAX(1,MIN(44,IFERROR(MATCH(F96,'Earth curves'!$A$2:$A$46,1),1)))+1)-INDEX('Earth curves'!$A$2:$A$46,MAX(1,MIN(44,IFERROR(MATCH(F96,'Earth curves'!$A$2:$A$46,1),1))))))</f>
        <v/>
      </c>
      <c r="S96" s="6">
        <f>MEDIAN(0.307692,Q96+MEDIAN(-0.350583,O96+NORMSINV(H96)*0.064828*Config!$B$3,0.120277),0.993846)</f>
        <v/>
      </c>
      <c r="T96" s="10">
        <f>ROUND(Config!$B$7+(Config!$B$8-Config!$B$7)*S96,1)</f>
        <v/>
      </c>
      <c r="U96" s="11" t="n"/>
      <c r="V96" s="10">
        <f>IF(U96="",T96,U96)</f>
        <v/>
      </c>
      <c r="W96" s="6">
        <f>MEDIAN(0.05,R96+MEDIAN(-0.302219,P96+NORMSINV(I96)*0.089531*Config!$B$3,0.274961),0.999)</f>
        <v/>
      </c>
      <c r="X96" s="6">
        <f>(INDEX('Earth curves'!$F$2:$F$46,MAX(1,MIN(44,IFERROR(MATCH(W96,'Earth curves'!$E$2:$E$46,1),1))))+(W96-INDEX('Earth curves'!$E$2:$E$46,MAX(1,MIN(44,IFERROR(MATCH(W96,'Earth curves'!$E$2:$E$46,1),1)))))*(INDEX('Earth curves'!$F$2:$F$46,MAX(1,MIN(44,IFERROR(MATCH(W96,'Earth curves'!$E$2:$E$46,1),1)))+1)-INDEX('Earth curves'!$F$2:$F$46,MAX(1,MIN(44,IFERROR(MATCH(W96,'Earth curves'!$E$2:$E$46,1),1)))))/(INDEX('Earth curves'!$E$2:$E$46,MAX(1,MIN(44,IFERROR(MATCH(W96,'Earth curves'!$E$2:$E$46,1),1)))+1)-INDEX('Earth curves'!$E$2:$E$46,MAX(1,MIN(44,IFERROR(MATCH(W96,'Earth curves'!$E$2:$E$46,1),1))))))</f>
        <v/>
      </c>
      <c r="Y96" s="6">
        <f>(INDEX('Earth curves'!$G$2:$G$46,MAX(1,MIN(44,IFERROR(MATCH(W96,'Earth curves'!$E$2:$E$46,1),1))))+(W96-INDEX('Earth curves'!$E$2:$E$46,MAX(1,MIN(44,IFERROR(MATCH(W96,'Earth curves'!$E$2:$E$46,1),1)))))*(INDEX('Earth curves'!$G$2:$G$46,MAX(1,MIN(44,IFERROR(MATCH(W96,'Earth curves'!$E$2:$E$46,1),1)))+1)-INDEX('Earth curves'!$G$2:$G$46,MAX(1,MIN(44,IFERROR(MATCH(W96,'Earth curves'!$E$2:$E$46,1),1)))))/(INDEX('Earth curves'!$E$2:$E$46,MAX(1,MIN(44,IFERROR(MATCH(W96,'Earth curves'!$E$2:$E$46,1),1)))+1)-INDEX('Earth curves'!$E$2:$E$46,MAX(1,MIN(44,IFERROR(MATCH(W96,'Earth curves'!$E$2:$E$46,1),1))))))</f>
        <v/>
      </c>
      <c r="Z96" s="6">
        <f>(MIN(X96/Config!$B$9,1)+MIN(Y96/Config!$B$10,1))/2</f>
        <v/>
      </c>
      <c r="AA96" s="10">
        <f>ROUND(MIN(22,MAX(3,X96*W96/Z96)),1)</f>
        <v/>
      </c>
      <c r="AB96" s="11" t="n"/>
      <c r="AC96" s="10">
        <f>IF(AB96="",AA96,AB96)</f>
        <v/>
      </c>
      <c r="AD96" s="10">
        <f>ROUND(MIN(Config!$B$10,MAX(1,Y96*W96/Z96)),1)</f>
        <v/>
      </c>
      <c r="AE96" s="11" t="n"/>
      <c r="AF96" s="10">
        <f>IF(AE96="",AD96,AE96)</f>
        <v/>
      </c>
      <c r="AG96" s="9">
        <f>(V96-Config!$B$7)/(Config!$B$8-Config!$B$7)</f>
        <v/>
      </c>
      <c r="AH96" s="9">
        <f>(MIN(AC96/Config!$B$9,1)+MIN(AF96/Config!$B$10,1))/2</f>
        <v/>
      </c>
      <c r="AI96" s="12">
        <f>ROUND((AG96*AH96*G96)^(1/3),3)</f>
        <v/>
      </c>
      <c r="AJ96" s="12" t="n">
        <v>0.82</v>
      </c>
      <c r="AK96" s="13">
        <f>AI96-AJ96</f>
        <v/>
      </c>
      <c r="AL96" s="13">
        <f>AK96-AVERAGE($AK$2:$AK$173)</f>
        <v/>
      </c>
      <c r="AM96" s="6">
        <f>IF(ABS(AL96)&gt;Config!$B$11,"REVIEW","")</f>
        <v/>
      </c>
      <c r="AN96" s="14">
        <f>RANK(AI96,$AI$2:$AI$173)</f>
        <v/>
      </c>
      <c r="AO96" s="14">
        <f>RANK(AJ96,$AJ$2:$AJ$173)</f>
        <v/>
      </c>
      <c r="AP96" s="14" t="n">
        <v>96</v>
      </c>
    </row>
    <row r="97">
      <c r="A97" s="6" t="inlineStr">
        <is>
          <t>Onphello</t>
        </is>
      </c>
      <c r="B97" s="6" t="inlineStr">
        <is>
          <t>Quia</t>
        </is>
      </c>
      <c r="C97" s="6" t="inlineStr">
        <is>
          <t>resource</t>
        </is>
      </c>
      <c r="D97" s="7" t="n">
        <v>29079</v>
      </c>
      <c r="E97" s="8">
        <f>D97*Config!$B$4</f>
        <v/>
      </c>
      <c r="F97" s="6">
        <f>LN(MAX(60,E97))</f>
        <v/>
      </c>
      <c r="G97" s="9">
        <f>MEDIAN(0,(F97-LN(Config!$B$5))/(LN(Config!$B$6)-LN(Config!$B$5)),1)</f>
        <v/>
      </c>
      <c r="H97" s="6">
        <f>MOD((Config!$B$2+$AP97*7919)*9301+49297,233280)/233280</f>
        <v/>
      </c>
      <c r="I97" s="6">
        <f>MOD((Config!$B$2+$AP97*104729)*4096+150889,714025)/714025</f>
        <v/>
      </c>
      <c r="J97" s="6">
        <f>MOD((Config!$B$2*31+$AP97*15485863)*1366+150889,714025)/714025</f>
        <v/>
      </c>
      <c r="K97" s="6" t="n">
        <v>0.049101</v>
      </c>
      <c r="L97" s="6" t="n">
        <v>-0.010553</v>
      </c>
      <c r="M97" s="6">
        <f>COUNTIF(Siblings!$A$2:$A$84,B97)</f>
        <v/>
      </c>
      <c r="N97" s="6">
        <f>1+INT(J97*M97)</f>
        <v/>
      </c>
      <c r="O97" s="6">
        <f>IF(K97&lt;&gt;"",K97,IFERROR(INDEX(Siblings!$D$2:$D$84,MATCH(B97&amp;"|"&amp;N97,Siblings!$F$2:$F$84,0)),0))</f>
        <v/>
      </c>
      <c r="P97" s="6">
        <f>IF(L97&lt;&gt;"",L97,IFERROR(INDEX(Siblings!$E$2:$E$84,MATCH(B97&amp;"|"&amp;N97,Siblings!$F$2:$F$84,0)),0))</f>
        <v/>
      </c>
      <c r="Q97" s="6">
        <f>(INDEX('Earth curves'!$B$2:$B$46,MAX(1,MIN(44,IFERROR(MATCH(F97,'Earth curves'!$A$2:$A$46,1),1))))+(F97-INDEX('Earth curves'!$A$2:$A$46,MAX(1,MIN(44,IFERROR(MATCH(F97,'Earth curves'!$A$2:$A$46,1),1)))))*(INDEX('Earth curves'!$B$2:$B$46,MAX(1,MIN(44,IFERROR(MATCH(F97,'Earth curves'!$A$2:$A$46,1),1)))+1)-INDEX('Earth curves'!$B$2:$B$46,MAX(1,MIN(44,IFERROR(MATCH(F97,'Earth curves'!$A$2:$A$46,1),1)))))/(INDEX('Earth curves'!$A$2:$A$46,MAX(1,MIN(44,IFERROR(MATCH(F97,'Earth curves'!$A$2:$A$46,1),1)))+1)-INDEX('Earth curves'!$A$2:$A$46,MAX(1,MIN(44,IFERROR(MATCH(F97,'Earth curves'!$A$2:$A$46,1),1))))))</f>
        <v/>
      </c>
      <c r="R97" s="6">
        <f>(INDEX('Earth curves'!$C$2:$C$46,MAX(1,MIN(44,IFERROR(MATCH(F97,'Earth curves'!$A$2:$A$46,1),1))))+(F97-INDEX('Earth curves'!$A$2:$A$46,MAX(1,MIN(44,IFERROR(MATCH(F97,'Earth curves'!$A$2:$A$46,1),1)))))*(INDEX('Earth curves'!$C$2:$C$46,MAX(1,MIN(44,IFERROR(MATCH(F97,'Earth curves'!$A$2:$A$46,1),1)))+1)-INDEX('Earth curves'!$C$2:$C$46,MAX(1,MIN(44,IFERROR(MATCH(F97,'Earth curves'!$A$2:$A$46,1),1)))))/(INDEX('Earth curves'!$A$2:$A$46,MAX(1,MIN(44,IFERROR(MATCH(F97,'Earth curves'!$A$2:$A$46,1),1)))+1)-INDEX('Earth curves'!$A$2:$A$46,MAX(1,MIN(44,IFERROR(MATCH(F97,'Earth curves'!$A$2:$A$46,1),1))))))</f>
        <v/>
      </c>
      <c r="S97" s="6">
        <f>MEDIAN(0.307692,Q97+MEDIAN(-0.350583,O97+NORMSINV(H97)*0.064828*Config!$B$3,0.120277),0.993846)</f>
        <v/>
      </c>
      <c r="T97" s="10">
        <f>ROUND(Config!$B$7+(Config!$B$8-Config!$B$7)*S97,1)</f>
        <v/>
      </c>
      <c r="U97" s="11" t="n"/>
      <c r="V97" s="10">
        <f>IF(U97="",T97,U97)</f>
        <v/>
      </c>
      <c r="W97" s="6">
        <f>MEDIAN(0.05,R97+MEDIAN(-0.302219,P97+NORMSINV(I97)*0.089531*Config!$B$3,0.274961),0.999)</f>
        <v/>
      </c>
      <c r="X97" s="6">
        <f>(INDEX('Earth curves'!$F$2:$F$46,MAX(1,MIN(44,IFERROR(MATCH(W97,'Earth curves'!$E$2:$E$46,1),1))))+(W97-INDEX('Earth curves'!$E$2:$E$46,MAX(1,MIN(44,IFERROR(MATCH(W97,'Earth curves'!$E$2:$E$46,1),1)))))*(INDEX('Earth curves'!$F$2:$F$46,MAX(1,MIN(44,IFERROR(MATCH(W97,'Earth curves'!$E$2:$E$46,1),1)))+1)-INDEX('Earth curves'!$F$2:$F$46,MAX(1,MIN(44,IFERROR(MATCH(W97,'Earth curves'!$E$2:$E$46,1),1)))))/(INDEX('Earth curves'!$E$2:$E$46,MAX(1,MIN(44,IFERROR(MATCH(W97,'Earth curves'!$E$2:$E$46,1),1)))+1)-INDEX('Earth curves'!$E$2:$E$46,MAX(1,MIN(44,IFERROR(MATCH(W97,'Earth curves'!$E$2:$E$46,1),1))))))</f>
        <v/>
      </c>
      <c r="Y97" s="6">
        <f>(INDEX('Earth curves'!$G$2:$G$46,MAX(1,MIN(44,IFERROR(MATCH(W97,'Earth curves'!$E$2:$E$46,1),1))))+(W97-INDEX('Earth curves'!$E$2:$E$46,MAX(1,MIN(44,IFERROR(MATCH(W97,'Earth curves'!$E$2:$E$46,1),1)))))*(INDEX('Earth curves'!$G$2:$G$46,MAX(1,MIN(44,IFERROR(MATCH(W97,'Earth curves'!$E$2:$E$46,1),1)))+1)-INDEX('Earth curves'!$G$2:$G$46,MAX(1,MIN(44,IFERROR(MATCH(W97,'Earth curves'!$E$2:$E$46,1),1)))))/(INDEX('Earth curves'!$E$2:$E$46,MAX(1,MIN(44,IFERROR(MATCH(W97,'Earth curves'!$E$2:$E$46,1),1)))+1)-INDEX('Earth curves'!$E$2:$E$46,MAX(1,MIN(44,IFERROR(MATCH(W97,'Earth curves'!$E$2:$E$46,1),1))))))</f>
        <v/>
      </c>
      <c r="Z97" s="6">
        <f>(MIN(X97/Config!$B$9,1)+MIN(Y97/Config!$B$10,1))/2</f>
        <v/>
      </c>
      <c r="AA97" s="10">
        <f>ROUND(MIN(22,MAX(3,X97*W97/Z97)),1)</f>
        <v/>
      </c>
      <c r="AB97" s="11" t="n"/>
      <c r="AC97" s="10">
        <f>IF(AB97="",AA97,AB97)</f>
        <v/>
      </c>
      <c r="AD97" s="10">
        <f>ROUND(MIN(Config!$B$10,MAX(1,Y97*W97/Z97)),1)</f>
        <v/>
      </c>
      <c r="AE97" s="11" t="n"/>
      <c r="AF97" s="10">
        <f>IF(AE97="",AD97,AE97)</f>
        <v/>
      </c>
      <c r="AG97" s="9">
        <f>(V97-Config!$B$7)/(Config!$B$8-Config!$B$7)</f>
        <v/>
      </c>
      <c r="AH97" s="9">
        <f>(MIN(AC97/Config!$B$9,1)+MIN(AF97/Config!$B$10,1))/2</f>
        <v/>
      </c>
      <c r="AI97" s="12">
        <f>ROUND((AG97*AH97*G97)^(1/3),3)</f>
        <v/>
      </c>
      <c r="AJ97" s="12" t="n">
        <v>0.701</v>
      </c>
      <c r="AK97" s="13">
        <f>AI97-AJ97</f>
        <v/>
      </c>
      <c r="AL97" s="13">
        <f>AK97-AVERAGE($AK$2:$AK$173)</f>
        <v/>
      </c>
      <c r="AM97" s="6">
        <f>IF(ABS(AL97)&gt;Config!$B$11,"REVIEW","")</f>
        <v/>
      </c>
      <c r="AN97" s="14">
        <f>RANK(AI97,$AI$2:$AI$173)</f>
        <v/>
      </c>
      <c r="AO97" s="14">
        <f>RANK(AJ97,$AJ$2:$AJ$173)</f>
        <v/>
      </c>
      <c r="AP97" s="14" t="n">
        <v>97</v>
      </c>
    </row>
    <row r="98">
      <c r="A98" s="6" t="inlineStr">
        <is>
          <t>Oscairia</t>
        </is>
      </c>
      <c r="B98" s="6" t="inlineStr">
        <is>
          <t>Massir</t>
        </is>
      </c>
      <c r="C98" s="6" t="inlineStr">
        <is>
          <t>resource</t>
        </is>
      </c>
      <c r="D98" s="7" t="n">
        <v>12095</v>
      </c>
      <c r="E98" s="8">
        <f>D98*Config!$B$4</f>
        <v/>
      </c>
      <c r="F98" s="6">
        <f>LN(MAX(60,E98))</f>
        <v/>
      </c>
      <c r="G98" s="9">
        <f>MEDIAN(0,(F98-LN(Config!$B$5))/(LN(Config!$B$6)-LN(Config!$B$5)),1)</f>
        <v/>
      </c>
      <c r="H98" s="6">
        <f>MOD((Config!$B$2+$AP98*7919)*9301+49297,233280)/233280</f>
        <v/>
      </c>
      <c r="I98" s="6">
        <f>MOD((Config!$B$2+$AP98*104729)*4096+150889,714025)/714025</f>
        <v/>
      </c>
      <c r="J98" s="6">
        <f>MOD((Config!$B$2*31+$AP98*15485863)*1366+150889,714025)/714025</f>
        <v/>
      </c>
      <c r="K98" s="6" t="n">
        <v>-0.085975</v>
      </c>
      <c r="L98" s="6" t="n">
        <v>0.022756</v>
      </c>
      <c r="M98" s="6">
        <f>COUNTIF(Siblings!$A$2:$A$84,B98)</f>
        <v/>
      </c>
      <c r="N98" s="6">
        <f>1+INT(J98*M98)</f>
        <v/>
      </c>
      <c r="O98" s="6">
        <f>IF(K98&lt;&gt;"",K98,IFERROR(INDEX(Siblings!$D$2:$D$84,MATCH(B98&amp;"|"&amp;N98,Siblings!$F$2:$F$84,0)),0))</f>
        <v/>
      </c>
      <c r="P98" s="6">
        <f>IF(L98&lt;&gt;"",L98,IFERROR(INDEX(Siblings!$E$2:$E$84,MATCH(B98&amp;"|"&amp;N98,Siblings!$F$2:$F$84,0)),0))</f>
        <v/>
      </c>
      <c r="Q98" s="6">
        <f>(INDEX('Earth curves'!$B$2:$B$46,MAX(1,MIN(44,IFERROR(MATCH(F98,'Earth curves'!$A$2:$A$46,1),1))))+(F98-INDEX('Earth curves'!$A$2:$A$46,MAX(1,MIN(44,IFERROR(MATCH(F98,'Earth curves'!$A$2:$A$46,1),1)))))*(INDEX('Earth curves'!$B$2:$B$46,MAX(1,MIN(44,IFERROR(MATCH(F98,'Earth curves'!$A$2:$A$46,1),1)))+1)-INDEX('Earth curves'!$B$2:$B$46,MAX(1,MIN(44,IFERROR(MATCH(F98,'Earth curves'!$A$2:$A$46,1),1)))))/(INDEX('Earth curves'!$A$2:$A$46,MAX(1,MIN(44,IFERROR(MATCH(F98,'Earth curves'!$A$2:$A$46,1),1)))+1)-INDEX('Earth curves'!$A$2:$A$46,MAX(1,MIN(44,IFERROR(MATCH(F98,'Earth curves'!$A$2:$A$46,1),1))))))</f>
        <v/>
      </c>
      <c r="R98" s="6">
        <f>(INDEX('Earth curves'!$C$2:$C$46,MAX(1,MIN(44,IFERROR(MATCH(F98,'Earth curves'!$A$2:$A$46,1),1))))+(F98-INDEX('Earth curves'!$A$2:$A$46,MAX(1,MIN(44,IFERROR(MATCH(F98,'Earth curves'!$A$2:$A$46,1),1)))))*(INDEX('Earth curves'!$C$2:$C$46,MAX(1,MIN(44,IFERROR(MATCH(F98,'Earth curves'!$A$2:$A$46,1),1)))+1)-INDEX('Earth curves'!$C$2:$C$46,MAX(1,MIN(44,IFERROR(MATCH(F98,'Earth curves'!$A$2:$A$46,1),1)))))/(INDEX('Earth curves'!$A$2:$A$46,MAX(1,MIN(44,IFERROR(MATCH(F98,'Earth curves'!$A$2:$A$46,1),1)))+1)-INDEX('Earth curves'!$A$2:$A$46,MAX(1,MIN(44,IFERROR(MATCH(F98,'Earth curves'!$A$2:$A$46,1),1))))))</f>
        <v/>
      </c>
      <c r="S98" s="6">
        <f>MEDIAN(0.307692,Q98+MEDIAN(-0.350583,O98+NORMSINV(H98)*0.064828*Config!$B$3,0.120277),0.993846)</f>
        <v/>
      </c>
      <c r="T98" s="10">
        <f>ROUND(Config!$B$7+(Config!$B$8-Config!$B$7)*S98,1)</f>
        <v/>
      </c>
      <c r="U98" s="11" t="n"/>
      <c r="V98" s="10">
        <f>IF(U98="",T98,U98)</f>
        <v/>
      </c>
      <c r="W98" s="6">
        <f>MEDIAN(0.05,R98+MEDIAN(-0.302219,P98+NORMSINV(I98)*0.089531*Config!$B$3,0.274961),0.999)</f>
        <v/>
      </c>
      <c r="X98" s="6">
        <f>(INDEX('Earth curves'!$F$2:$F$46,MAX(1,MIN(44,IFERROR(MATCH(W98,'Earth curves'!$E$2:$E$46,1),1))))+(W98-INDEX('Earth curves'!$E$2:$E$46,MAX(1,MIN(44,IFERROR(MATCH(W98,'Earth curves'!$E$2:$E$46,1),1)))))*(INDEX('Earth curves'!$F$2:$F$46,MAX(1,MIN(44,IFERROR(MATCH(W98,'Earth curves'!$E$2:$E$46,1),1)))+1)-INDEX('Earth curves'!$F$2:$F$46,MAX(1,MIN(44,IFERROR(MATCH(W98,'Earth curves'!$E$2:$E$46,1),1)))))/(INDEX('Earth curves'!$E$2:$E$46,MAX(1,MIN(44,IFERROR(MATCH(W98,'Earth curves'!$E$2:$E$46,1),1)))+1)-INDEX('Earth curves'!$E$2:$E$46,MAX(1,MIN(44,IFERROR(MATCH(W98,'Earth curves'!$E$2:$E$46,1),1))))))</f>
        <v/>
      </c>
      <c r="Y98" s="6">
        <f>(INDEX('Earth curves'!$G$2:$G$46,MAX(1,MIN(44,IFERROR(MATCH(W98,'Earth curves'!$E$2:$E$46,1),1))))+(W98-INDEX('Earth curves'!$E$2:$E$46,MAX(1,MIN(44,IFERROR(MATCH(W98,'Earth curves'!$E$2:$E$46,1),1)))))*(INDEX('Earth curves'!$G$2:$G$46,MAX(1,MIN(44,IFERROR(MATCH(W98,'Earth curves'!$E$2:$E$46,1),1)))+1)-INDEX('Earth curves'!$G$2:$G$46,MAX(1,MIN(44,IFERROR(MATCH(W98,'Earth curves'!$E$2:$E$46,1),1)))))/(INDEX('Earth curves'!$E$2:$E$46,MAX(1,MIN(44,IFERROR(MATCH(W98,'Earth curves'!$E$2:$E$46,1),1)))+1)-INDEX('Earth curves'!$E$2:$E$46,MAX(1,MIN(44,IFERROR(MATCH(W98,'Earth curves'!$E$2:$E$46,1),1))))))</f>
        <v/>
      </c>
      <c r="Z98" s="6">
        <f>(MIN(X98/Config!$B$9,1)+MIN(Y98/Config!$B$10,1))/2</f>
        <v/>
      </c>
      <c r="AA98" s="10">
        <f>ROUND(MIN(22,MAX(3,X98*W98/Z98)),1)</f>
        <v/>
      </c>
      <c r="AB98" s="11" t="n"/>
      <c r="AC98" s="10">
        <f>IF(AB98="",AA98,AB98)</f>
        <v/>
      </c>
      <c r="AD98" s="10">
        <f>ROUND(MIN(Config!$B$10,MAX(1,Y98*W98/Z98)),1)</f>
        <v/>
      </c>
      <c r="AE98" s="11" t="n"/>
      <c r="AF98" s="10">
        <f>IF(AE98="",AD98,AE98)</f>
        <v/>
      </c>
      <c r="AG98" s="9">
        <f>(V98-Config!$B$7)/(Config!$B$8-Config!$B$7)</f>
        <v/>
      </c>
      <c r="AH98" s="9">
        <f>(MIN(AC98/Config!$B$9,1)+MIN(AF98/Config!$B$10,1))/2</f>
        <v/>
      </c>
      <c r="AI98" s="12">
        <f>ROUND((AG98*AH98*G98)^(1/3),3)</f>
        <v/>
      </c>
      <c r="AJ98" s="12" t="n">
        <v>0.5679999999999999</v>
      </c>
      <c r="AK98" s="13">
        <f>AI98-AJ98</f>
        <v/>
      </c>
      <c r="AL98" s="13">
        <f>AK98-AVERAGE($AK$2:$AK$173)</f>
        <v/>
      </c>
      <c r="AM98" s="6">
        <f>IF(ABS(AL98)&gt;Config!$B$11,"REVIEW","")</f>
        <v/>
      </c>
      <c r="AN98" s="14">
        <f>RANK(AI98,$AI$2:$AI$173)</f>
        <v/>
      </c>
      <c r="AO98" s="14">
        <f>RANK(AJ98,$AJ$2:$AJ$173)</f>
        <v/>
      </c>
      <c r="AP98" s="14" t="n">
        <v>98</v>
      </c>
    </row>
    <row r="99">
      <c r="A99" s="6" t="inlineStr">
        <is>
          <t>Othya</t>
        </is>
      </c>
      <c r="B99" s="6" t="inlineStr">
        <is>
          <t>Acrola</t>
        </is>
      </c>
      <c r="C99" s="6" t="inlineStr">
        <is>
          <t>—</t>
        </is>
      </c>
      <c r="D99" s="7" t="n">
        <v>8698</v>
      </c>
      <c r="E99" s="8">
        <f>D99*Config!$B$4</f>
        <v/>
      </c>
      <c r="F99" s="6">
        <f>LN(MAX(60,E99))</f>
        <v/>
      </c>
      <c r="G99" s="9">
        <f>MEDIAN(0,(F99-LN(Config!$B$5))/(LN(Config!$B$6)-LN(Config!$B$5)),1)</f>
        <v/>
      </c>
      <c r="H99" s="6">
        <f>MOD((Config!$B$2+$AP99*7919)*9301+49297,233280)/233280</f>
        <v/>
      </c>
      <c r="I99" s="6">
        <f>MOD((Config!$B$2+$AP99*104729)*4096+150889,714025)/714025</f>
        <v/>
      </c>
      <c r="J99" s="6">
        <f>MOD((Config!$B$2*31+$AP99*15485863)*1366+150889,714025)/714025</f>
        <v/>
      </c>
      <c r="K99" s="6" t="n">
        <v>-0.046996</v>
      </c>
      <c r="L99" s="6" t="n">
        <v>-0.161861</v>
      </c>
      <c r="M99" s="6">
        <f>COUNTIF(Siblings!$A$2:$A$84,B99)</f>
        <v/>
      </c>
      <c r="N99" s="6">
        <f>1+INT(J99*M99)</f>
        <v/>
      </c>
      <c r="O99" s="6">
        <f>IF(K99&lt;&gt;"",K99,IFERROR(INDEX(Siblings!$D$2:$D$84,MATCH(B99&amp;"|"&amp;N99,Siblings!$F$2:$F$84,0)),0))</f>
        <v/>
      </c>
      <c r="P99" s="6">
        <f>IF(L99&lt;&gt;"",L99,IFERROR(INDEX(Siblings!$E$2:$E$84,MATCH(B99&amp;"|"&amp;N99,Siblings!$F$2:$F$84,0)),0))</f>
        <v/>
      </c>
      <c r="Q99" s="6">
        <f>(INDEX('Earth curves'!$B$2:$B$46,MAX(1,MIN(44,IFERROR(MATCH(F99,'Earth curves'!$A$2:$A$46,1),1))))+(F99-INDEX('Earth curves'!$A$2:$A$46,MAX(1,MIN(44,IFERROR(MATCH(F99,'Earth curves'!$A$2:$A$46,1),1)))))*(INDEX('Earth curves'!$B$2:$B$46,MAX(1,MIN(44,IFERROR(MATCH(F99,'Earth curves'!$A$2:$A$46,1),1)))+1)-INDEX('Earth curves'!$B$2:$B$46,MAX(1,MIN(44,IFERROR(MATCH(F99,'Earth curves'!$A$2:$A$46,1),1)))))/(INDEX('Earth curves'!$A$2:$A$46,MAX(1,MIN(44,IFERROR(MATCH(F99,'Earth curves'!$A$2:$A$46,1),1)))+1)-INDEX('Earth curves'!$A$2:$A$46,MAX(1,MIN(44,IFERROR(MATCH(F99,'Earth curves'!$A$2:$A$46,1),1))))))</f>
        <v/>
      </c>
      <c r="R99" s="6">
        <f>(INDEX('Earth curves'!$C$2:$C$46,MAX(1,MIN(44,IFERROR(MATCH(F99,'Earth curves'!$A$2:$A$46,1),1))))+(F99-INDEX('Earth curves'!$A$2:$A$46,MAX(1,MIN(44,IFERROR(MATCH(F99,'Earth curves'!$A$2:$A$46,1),1)))))*(INDEX('Earth curves'!$C$2:$C$46,MAX(1,MIN(44,IFERROR(MATCH(F99,'Earth curves'!$A$2:$A$46,1),1)))+1)-INDEX('Earth curves'!$C$2:$C$46,MAX(1,MIN(44,IFERROR(MATCH(F99,'Earth curves'!$A$2:$A$46,1),1)))))/(INDEX('Earth curves'!$A$2:$A$46,MAX(1,MIN(44,IFERROR(MATCH(F99,'Earth curves'!$A$2:$A$46,1),1)))+1)-INDEX('Earth curves'!$A$2:$A$46,MAX(1,MIN(44,IFERROR(MATCH(F99,'Earth curves'!$A$2:$A$46,1),1))))))</f>
        <v/>
      </c>
      <c r="S99" s="6">
        <f>MEDIAN(0.307692,Q99+MEDIAN(-0.350583,O99+NORMSINV(H99)*0.064828*Config!$B$3,0.120277),0.993846)</f>
        <v/>
      </c>
      <c r="T99" s="10">
        <f>ROUND(Config!$B$7+(Config!$B$8-Config!$B$7)*S99,1)</f>
        <v/>
      </c>
      <c r="U99" s="11" t="n"/>
      <c r="V99" s="10">
        <f>IF(U99="",T99,U99)</f>
        <v/>
      </c>
      <c r="W99" s="6">
        <f>MEDIAN(0.05,R99+MEDIAN(-0.302219,P99+NORMSINV(I99)*0.089531*Config!$B$3,0.274961),0.999)</f>
        <v/>
      </c>
      <c r="X99" s="6">
        <f>(INDEX('Earth curves'!$F$2:$F$46,MAX(1,MIN(44,IFERROR(MATCH(W99,'Earth curves'!$E$2:$E$46,1),1))))+(W99-INDEX('Earth curves'!$E$2:$E$46,MAX(1,MIN(44,IFERROR(MATCH(W99,'Earth curves'!$E$2:$E$46,1),1)))))*(INDEX('Earth curves'!$F$2:$F$46,MAX(1,MIN(44,IFERROR(MATCH(W99,'Earth curves'!$E$2:$E$46,1),1)))+1)-INDEX('Earth curves'!$F$2:$F$46,MAX(1,MIN(44,IFERROR(MATCH(W99,'Earth curves'!$E$2:$E$46,1),1)))))/(INDEX('Earth curves'!$E$2:$E$46,MAX(1,MIN(44,IFERROR(MATCH(W99,'Earth curves'!$E$2:$E$46,1),1)))+1)-INDEX('Earth curves'!$E$2:$E$46,MAX(1,MIN(44,IFERROR(MATCH(W99,'Earth curves'!$E$2:$E$46,1),1))))))</f>
        <v/>
      </c>
      <c r="Y99" s="6">
        <f>(INDEX('Earth curves'!$G$2:$G$46,MAX(1,MIN(44,IFERROR(MATCH(W99,'Earth curves'!$E$2:$E$46,1),1))))+(W99-INDEX('Earth curves'!$E$2:$E$46,MAX(1,MIN(44,IFERROR(MATCH(W99,'Earth curves'!$E$2:$E$46,1),1)))))*(INDEX('Earth curves'!$G$2:$G$46,MAX(1,MIN(44,IFERROR(MATCH(W99,'Earth curves'!$E$2:$E$46,1),1)))+1)-INDEX('Earth curves'!$G$2:$G$46,MAX(1,MIN(44,IFERROR(MATCH(W99,'Earth curves'!$E$2:$E$46,1),1)))))/(INDEX('Earth curves'!$E$2:$E$46,MAX(1,MIN(44,IFERROR(MATCH(W99,'Earth curves'!$E$2:$E$46,1),1)))+1)-INDEX('Earth curves'!$E$2:$E$46,MAX(1,MIN(44,IFERROR(MATCH(W99,'Earth curves'!$E$2:$E$46,1),1))))))</f>
        <v/>
      </c>
      <c r="Z99" s="6">
        <f>(MIN(X99/Config!$B$9,1)+MIN(Y99/Config!$B$10,1))/2</f>
        <v/>
      </c>
      <c r="AA99" s="10">
        <f>ROUND(MIN(22,MAX(3,X99*W99/Z99)),1)</f>
        <v/>
      </c>
      <c r="AB99" s="11" t="n"/>
      <c r="AC99" s="10">
        <f>IF(AB99="",AA99,AB99)</f>
        <v/>
      </c>
      <c r="AD99" s="10">
        <f>ROUND(MIN(Config!$B$10,MAX(1,Y99*W99/Z99)),1)</f>
        <v/>
      </c>
      <c r="AE99" s="11" t="n"/>
      <c r="AF99" s="10">
        <f>IF(AE99="",AD99,AE99)</f>
        <v/>
      </c>
      <c r="AG99" s="9">
        <f>(V99-Config!$B$7)/(Config!$B$8-Config!$B$7)</f>
        <v/>
      </c>
      <c r="AH99" s="9">
        <f>(MIN(AC99/Config!$B$9,1)+MIN(AF99/Config!$B$10,1))/2</f>
        <v/>
      </c>
      <c r="AI99" s="12">
        <f>ROUND((AG99*AH99*G99)^(1/3),3)</f>
        <v/>
      </c>
      <c r="AJ99" s="12" t="n">
        <v>0.487</v>
      </c>
      <c r="AK99" s="13">
        <f>AI99-AJ99</f>
        <v/>
      </c>
      <c r="AL99" s="13">
        <f>AK99-AVERAGE($AK$2:$AK$173)</f>
        <v/>
      </c>
      <c r="AM99" s="6">
        <f>IF(ABS(AL99)&gt;Config!$B$11,"REVIEW","")</f>
        <v/>
      </c>
      <c r="AN99" s="14">
        <f>RANK(AI99,$AI$2:$AI$173)</f>
        <v/>
      </c>
      <c r="AO99" s="14">
        <f>RANK(AJ99,$AJ$2:$AJ$173)</f>
        <v/>
      </c>
      <c r="AP99" s="14" t="n">
        <v>99</v>
      </c>
    </row>
    <row r="100">
      <c r="A100" s="6" t="inlineStr">
        <is>
          <t>Otiiric</t>
        </is>
      </c>
      <c r="B100" s="6" t="inlineStr">
        <is>
          <t>Mahea</t>
        </is>
      </c>
      <c r="C100" s="6" t="inlineStr">
        <is>
          <t>—</t>
        </is>
      </c>
      <c r="D100" s="7" t="n">
        <v>29206</v>
      </c>
      <c r="E100" s="8">
        <f>D100*Config!$B$4</f>
        <v/>
      </c>
      <c r="F100" s="6">
        <f>LN(MAX(60,E100))</f>
        <v/>
      </c>
      <c r="G100" s="9">
        <f>MEDIAN(0,(F100-LN(Config!$B$5))/(LN(Config!$B$6)-LN(Config!$B$5)),1)</f>
        <v/>
      </c>
      <c r="H100" s="6">
        <f>MOD((Config!$B$2+$AP100*7919)*9301+49297,233280)/233280</f>
        <v/>
      </c>
      <c r="I100" s="6">
        <f>MOD((Config!$B$2+$AP100*104729)*4096+150889,714025)/714025</f>
        <v/>
      </c>
      <c r="J100" s="6">
        <f>MOD((Config!$B$2*31+$AP100*15485863)*1366+150889,714025)/714025</f>
        <v/>
      </c>
      <c r="K100" s="6" t="n">
        <v>-0.010793</v>
      </c>
      <c r="L100" s="6" t="n">
        <v>0.086201</v>
      </c>
      <c r="M100" s="6">
        <f>COUNTIF(Siblings!$A$2:$A$84,B100)</f>
        <v/>
      </c>
      <c r="N100" s="6">
        <f>1+INT(J100*M100)</f>
        <v/>
      </c>
      <c r="O100" s="6">
        <f>IF(K100&lt;&gt;"",K100,IFERROR(INDEX(Siblings!$D$2:$D$84,MATCH(B100&amp;"|"&amp;N100,Siblings!$F$2:$F$84,0)),0))</f>
        <v/>
      </c>
      <c r="P100" s="6">
        <f>IF(L100&lt;&gt;"",L100,IFERROR(INDEX(Siblings!$E$2:$E$84,MATCH(B100&amp;"|"&amp;N100,Siblings!$F$2:$F$84,0)),0))</f>
        <v/>
      </c>
      <c r="Q100" s="6">
        <f>(INDEX('Earth curves'!$B$2:$B$46,MAX(1,MIN(44,IFERROR(MATCH(F100,'Earth curves'!$A$2:$A$46,1),1))))+(F100-INDEX('Earth curves'!$A$2:$A$46,MAX(1,MIN(44,IFERROR(MATCH(F100,'Earth curves'!$A$2:$A$46,1),1)))))*(INDEX('Earth curves'!$B$2:$B$46,MAX(1,MIN(44,IFERROR(MATCH(F100,'Earth curves'!$A$2:$A$46,1),1)))+1)-INDEX('Earth curves'!$B$2:$B$46,MAX(1,MIN(44,IFERROR(MATCH(F100,'Earth curves'!$A$2:$A$46,1),1)))))/(INDEX('Earth curves'!$A$2:$A$46,MAX(1,MIN(44,IFERROR(MATCH(F100,'Earth curves'!$A$2:$A$46,1),1)))+1)-INDEX('Earth curves'!$A$2:$A$46,MAX(1,MIN(44,IFERROR(MATCH(F100,'Earth curves'!$A$2:$A$46,1),1))))))</f>
        <v/>
      </c>
      <c r="R100" s="6">
        <f>(INDEX('Earth curves'!$C$2:$C$46,MAX(1,MIN(44,IFERROR(MATCH(F100,'Earth curves'!$A$2:$A$46,1),1))))+(F100-INDEX('Earth curves'!$A$2:$A$46,MAX(1,MIN(44,IFERROR(MATCH(F100,'Earth curves'!$A$2:$A$46,1),1)))))*(INDEX('Earth curves'!$C$2:$C$46,MAX(1,MIN(44,IFERROR(MATCH(F100,'Earth curves'!$A$2:$A$46,1),1)))+1)-INDEX('Earth curves'!$C$2:$C$46,MAX(1,MIN(44,IFERROR(MATCH(F100,'Earth curves'!$A$2:$A$46,1),1)))))/(INDEX('Earth curves'!$A$2:$A$46,MAX(1,MIN(44,IFERROR(MATCH(F100,'Earth curves'!$A$2:$A$46,1),1)))+1)-INDEX('Earth curves'!$A$2:$A$46,MAX(1,MIN(44,IFERROR(MATCH(F100,'Earth curves'!$A$2:$A$46,1),1))))))</f>
        <v/>
      </c>
      <c r="S100" s="6">
        <f>MEDIAN(0.307692,Q100+MEDIAN(-0.350583,O100+NORMSINV(H100)*0.064828*Config!$B$3,0.120277),0.993846)</f>
        <v/>
      </c>
      <c r="T100" s="10">
        <f>ROUND(Config!$B$7+(Config!$B$8-Config!$B$7)*S100,1)</f>
        <v/>
      </c>
      <c r="U100" s="11" t="n"/>
      <c r="V100" s="10">
        <f>IF(U100="",T100,U100)</f>
        <v/>
      </c>
      <c r="W100" s="6">
        <f>MEDIAN(0.05,R100+MEDIAN(-0.302219,P100+NORMSINV(I100)*0.089531*Config!$B$3,0.274961),0.999)</f>
        <v/>
      </c>
      <c r="X100" s="6">
        <f>(INDEX('Earth curves'!$F$2:$F$46,MAX(1,MIN(44,IFERROR(MATCH(W100,'Earth curves'!$E$2:$E$46,1),1))))+(W100-INDEX('Earth curves'!$E$2:$E$46,MAX(1,MIN(44,IFERROR(MATCH(W100,'Earth curves'!$E$2:$E$46,1),1)))))*(INDEX('Earth curves'!$F$2:$F$46,MAX(1,MIN(44,IFERROR(MATCH(W100,'Earth curves'!$E$2:$E$46,1),1)))+1)-INDEX('Earth curves'!$F$2:$F$46,MAX(1,MIN(44,IFERROR(MATCH(W100,'Earth curves'!$E$2:$E$46,1),1)))))/(INDEX('Earth curves'!$E$2:$E$46,MAX(1,MIN(44,IFERROR(MATCH(W100,'Earth curves'!$E$2:$E$46,1),1)))+1)-INDEX('Earth curves'!$E$2:$E$46,MAX(1,MIN(44,IFERROR(MATCH(W100,'Earth curves'!$E$2:$E$46,1),1))))))</f>
        <v/>
      </c>
      <c r="Y100" s="6">
        <f>(INDEX('Earth curves'!$G$2:$G$46,MAX(1,MIN(44,IFERROR(MATCH(W100,'Earth curves'!$E$2:$E$46,1),1))))+(W100-INDEX('Earth curves'!$E$2:$E$46,MAX(1,MIN(44,IFERROR(MATCH(W100,'Earth curves'!$E$2:$E$46,1),1)))))*(INDEX('Earth curves'!$G$2:$G$46,MAX(1,MIN(44,IFERROR(MATCH(W100,'Earth curves'!$E$2:$E$46,1),1)))+1)-INDEX('Earth curves'!$G$2:$G$46,MAX(1,MIN(44,IFERROR(MATCH(W100,'Earth curves'!$E$2:$E$46,1),1)))))/(INDEX('Earth curves'!$E$2:$E$46,MAX(1,MIN(44,IFERROR(MATCH(W100,'Earth curves'!$E$2:$E$46,1),1)))+1)-INDEX('Earth curves'!$E$2:$E$46,MAX(1,MIN(44,IFERROR(MATCH(W100,'Earth curves'!$E$2:$E$46,1),1))))))</f>
        <v/>
      </c>
      <c r="Z100" s="6">
        <f>(MIN(X100/Config!$B$9,1)+MIN(Y100/Config!$B$10,1))/2</f>
        <v/>
      </c>
      <c r="AA100" s="10">
        <f>ROUND(MIN(22,MAX(3,X100*W100/Z100)),1)</f>
        <v/>
      </c>
      <c r="AB100" s="11" t="n"/>
      <c r="AC100" s="10">
        <f>IF(AB100="",AA100,AB100)</f>
        <v/>
      </c>
      <c r="AD100" s="10">
        <f>ROUND(MIN(Config!$B$10,MAX(1,Y100*W100/Z100)),1)</f>
        <v/>
      </c>
      <c r="AE100" s="11" t="n"/>
      <c r="AF100" s="10">
        <f>IF(AE100="",AD100,AE100)</f>
        <v/>
      </c>
      <c r="AG100" s="9">
        <f>(V100-Config!$B$7)/(Config!$B$8-Config!$B$7)</f>
        <v/>
      </c>
      <c r="AH100" s="9">
        <f>(MIN(AC100/Config!$B$9,1)+MIN(AF100/Config!$B$10,1))/2</f>
        <v/>
      </c>
      <c r="AI100" s="12">
        <f>ROUND((AG100*AH100*G100)^(1/3),3)</f>
        <v/>
      </c>
      <c r="AJ100" s="12" t="n">
        <v>0.675</v>
      </c>
      <c r="AK100" s="13">
        <f>AI100-AJ100</f>
        <v/>
      </c>
      <c r="AL100" s="13">
        <f>AK100-AVERAGE($AK$2:$AK$173)</f>
        <v/>
      </c>
      <c r="AM100" s="6">
        <f>IF(ABS(AL100)&gt;Config!$B$11,"REVIEW","")</f>
        <v/>
      </c>
      <c r="AN100" s="14">
        <f>RANK(AI100,$AI$2:$AI$173)</f>
        <v/>
      </c>
      <c r="AO100" s="14">
        <f>RANK(AJ100,$AJ$2:$AJ$173)</f>
        <v/>
      </c>
      <c r="AP100" s="14" t="n">
        <v>100</v>
      </c>
    </row>
    <row r="101">
      <c r="A101" s="6" t="inlineStr">
        <is>
          <t>Oyreain</t>
        </is>
      </c>
      <c r="B101" s="6" t="inlineStr">
        <is>
          <t>Massir</t>
        </is>
      </c>
      <c r="C101" s="6" t="inlineStr">
        <is>
          <t>resource</t>
        </is>
      </c>
      <c r="D101" s="7" t="n">
        <v>64444</v>
      </c>
      <c r="E101" s="8">
        <f>D101*Config!$B$4</f>
        <v/>
      </c>
      <c r="F101" s="6">
        <f>LN(MAX(60,E101))</f>
        <v/>
      </c>
      <c r="G101" s="9">
        <f>MEDIAN(0,(F101-LN(Config!$B$5))/(LN(Config!$B$6)-LN(Config!$B$5)),1)</f>
        <v/>
      </c>
      <c r="H101" s="6">
        <f>MOD((Config!$B$2+$AP101*7919)*9301+49297,233280)/233280</f>
        <v/>
      </c>
      <c r="I101" s="6">
        <f>MOD((Config!$B$2+$AP101*104729)*4096+150889,714025)/714025</f>
        <v/>
      </c>
      <c r="J101" s="6">
        <f>MOD((Config!$B$2*31+$AP101*15485863)*1366+150889,714025)/714025</f>
        <v/>
      </c>
      <c r="K101" s="6" t="n">
        <v>-0.011179</v>
      </c>
      <c r="L101" s="6" t="n">
        <v>-0.003109</v>
      </c>
      <c r="M101" s="6">
        <f>COUNTIF(Siblings!$A$2:$A$84,B101)</f>
        <v/>
      </c>
      <c r="N101" s="6">
        <f>1+INT(J101*M101)</f>
        <v/>
      </c>
      <c r="O101" s="6">
        <f>IF(K101&lt;&gt;"",K101,IFERROR(INDEX(Siblings!$D$2:$D$84,MATCH(B101&amp;"|"&amp;N101,Siblings!$F$2:$F$84,0)),0))</f>
        <v/>
      </c>
      <c r="P101" s="6">
        <f>IF(L101&lt;&gt;"",L101,IFERROR(INDEX(Siblings!$E$2:$E$84,MATCH(B101&amp;"|"&amp;N101,Siblings!$F$2:$F$84,0)),0))</f>
        <v/>
      </c>
      <c r="Q101" s="6">
        <f>(INDEX('Earth curves'!$B$2:$B$46,MAX(1,MIN(44,IFERROR(MATCH(F101,'Earth curves'!$A$2:$A$46,1),1))))+(F101-INDEX('Earth curves'!$A$2:$A$46,MAX(1,MIN(44,IFERROR(MATCH(F101,'Earth curves'!$A$2:$A$46,1),1)))))*(INDEX('Earth curves'!$B$2:$B$46,MAX(1,MIN(44,IFERROR(MATCH(F101,'Earth curves'!$A$2:$A$46,1),1)))+1)-INDEX('Earth curves'!$B$2:$B$46,MAX(1,MIN(44,IFERROR(MATCH(F101,'Earth curves'!$A$2:$A$46,1),1)))))/(INDEX('Earth curves'!$A$2:$A$46,MAX(1,MIN(44,IFERROR(MATCH(F101,'Earth curves'!$A$2:$A$46,1),1)))+1)-INDEX('Earth curves'!$A$2:$A$46,MAX(1,MIN(44,IFERROR(MATCH(F101,'Earth curves'!$A$2:$A$46,1),1))))))</f>
        <v/>
      </c>
      <c r="R101" s="6">
        <f>(INDEX('Earth curves'!$C$2:$C$46,MAX(1,MIN(44,IFERROR(MATCH(F101,'Earth curves'!$A$2:$A$46,1),1))))+(F101-INDEX('Earth curves'!$A$2:$A$46,MAX(1,MIN(44,IFERROR(MATCH(F101,'Earth curves'!$A$2:$A$46,1),1)))))*(INDEX('Earth curves'!$C$2:$C$46,MAX(1,MIN(44,IFERROR(MATCH(F101,'Earth curves'!$A$2:$A$46,1),1)))+1)-INDEX('Earth curves'!$C$2:$C$46,MAX(1,MIN(44,IFERROR(MATCH(F101,'Earth curves'!$A$2:$A$46,1),1)))))/(INDEX('Earth curves'!$A$2:$A$46,MAX(1,MIN(44,IFERROR(MATCH(F101,'Earth curves'!$A$2:$A$46,1),1)))+1)-INDEX('Earth curves'!$A$2:$A$46,MAX(1,MIN(44,IFERROR(MATCH(F101,'Earth curves'!$A$2:$A$46,1),1))))))</f>
        <v/>
      </c>
      <c r="S101" s="6">
        <f>MEDIAN(0.307692,Q101+MEDIAN(-0.350583,O101+NORMSINV(H101)*0.064828*Config!$B$3,0.120277),0.993846)</f>
        <v/>
      </c>
      <c r="T101" s="10">
        <f>ROUND(Config!$B$7+(Config!$B$8-Config!$B$7)*S101,1)</f>
        <v/>
      </c>
      <c r="U101" s="11" t="n"/>
      <c r="V101" s="10">
        <f>IF(U101="",T101,U101)</f>
        <v/>
      </c>
      <c r="W101" s="6">
        <f>MEDIAN(0.05,R101+MEDIAN(-0.302219,P101+NORMSINV(I101)*0.089531*Config!$B$3,0.274961),0.999)</f>
        <v/>
      </c>
      <c r="X101" s="6">
        <f>(INDEX('Earth curves'!$F$2:$F$46,MAX(1,MIN(44,IFERROR(MATCH(W101,'Earth curves'!$E$2:$E$46,1),1))))+(W101-INDEX('Earth curves'!$E$2:$E$46,MAX(1,MIN(44,IFERROR(MATCH(W101,'Earth curves'!$E$2:$E$46,1),1)))))*(INDEX('Earth curves'!$F$2:$F$46,MAX(1,MIN(44,IFERROR(MATCH(W101,'Earth curves'!$E$2:$E$46,1),1)))+1)-INDEX('Earth curves'!$F$2:$F$46,MAX(1,MIN(44,IFERROR(MATCH(W101,'Earth curves'!$E$2:$E$46,1),1)))))/(INDEX('Earth curves'!$E$2:$E$46,MAX(1,MIN(44,IFERROR(MATCH(W101,'Earth curves'!$E$2:$E$46,1),1)))+1)-INDEX('Earth curves'!$E$2:$E$46,MAX(1,MIN(44,IFERROR(MATCH(W101,'Earth curves'!$E$2:$E$46,1),1))))))</f>
        <v/>
      </c>
      <c r="Y101" s="6">
        <f>(INDEX('Earth curves'!$G$2:$G$46,MAX(1,MIN(44,IFERROR(MATCH(W101,'Earth curves'!$E$2:$E$46,1),1))))+(W101-INDEX('Earth curves'!$E$2:$E$46,MAX(1,MIN(44,IFERROR(MATCH(W101,'Earth curves'!$E$2:$E$46,1),1)))))*(INDEX('Earth curves'!$G$2:$G$46,MAX(1,MIN(44,IFERROR(MATCH(W101,'Earth curves'!$E$2:$E$46,1),1)))+1)-INDEX('Earth curves'!$G$2:$G$46,MAX(1,MIN(44,IFERROR(MATCH(W101,'Earth curves'!$E$2:$E$46,1),1)))))/(INDEX('Earth curves'!$E$2:$E$46,MAX(1,MIN(44,IFERROR(MATCH(W101,'Earth curves'!$E$2:$E$46,1),1)))+1)-INDEX('Earth curves'!$E$2:$E$46,MAX(1,MIN(44,IFERROR(MATCH(W101,'Earth curves'!$E$2:$E$46,1),1))))))</f>
        <v/>
      </c>
      <c r="Z101" s="6">
        <f>(MIN(X101/Config!$B$9,1)+MIN(Y101/Config!$B$10,1))/2</f>
        <v/>
      </c>
      <c r="AA101" s="10">
        <f>ROUND(MIN(22,MAX(3,X101*W101/Z101)),1)</f>
        <v/>
      </c>
      <c r="AB101" s="11" t="n"/>
      <c r="AC101" s="10">
        <f>IF(AB101="",AA101,AB101)</f>
        <v/>
      </c>
      <c r="AD101" s="10">
        <f>ROUND(MIN(Config!$B$10,MAX(1,Y101*W101/Z101)),1)</f>
        <v/>
      </c>
      <c r="AE101" s="11" t="n"/>
      <c r="AF101" s="10">
        <f>IF(AE101="",AD101,AE101)</f>
        <v/>
      </c>
      <c r="AG101" s="9">
        <f>(V101-Config!$B$7)/(Config!$B$8-Config!$B$7)</f>
        <v/>
      </c>
      <c r="AH101" s="9">
        <f>(MIN(AC101/Config!$B$9,1)+MIN(AF101/Config!$B$10,1))/2</f>
        <v/>
      </c>
      <c r="AI101" s="12">
        <f>ROUND((AG101*AH101*G101)^(1/3),3)</f>
        <v/>
      </c>
      <c r="AJ101" s="12" t="n">
        <v>0.765</v>
      </c>
      <c r="AK101" s="13">
        <f>AI101-AJ101</f>
        <v/>
      </c>
      <c r="AL101" s="13">
        <f>AK101-AVERAGE($AK$2:$AK$173)</f>
        <v/>
      </c>
      <c r="AM101" s="6">
        <f>IF(ABS(AL101)&gt;Config!$B$11,"REVIEW","")</f>
        <v/>
      </c>
      <c r="AN101" s="14">
        <f>RANK(AI101,$AI$2:$AI$173)</f>
        <v/>
      </c>
      <c r="AO101" s="14">
        <f>RANK(AJ101,$AJ$2:$AJ$173)</f>
        <v/>
      </c>
      <c r="AP101" s="14" t="n">
        <v>101</v>
      </c>
    </row>
    <row r="102">
      <c r="A102" s="6" t="inlineStr">
        <is>
          <t>Ozinia</t>
        </is>
      </c>
      <c r="B102" s="6" t="inlineStr">
        <is>
          <t>Mahea</t>
        </is>
      </c>
      <c r="C102" s="6" t="inlineStr">
        <is>
          <t>resource</t>
        </is>
      </c>
      <c r="D102" s="7" t="n">
        <v>14032</v>
      </c>
      <c r="E102" s="8">
        <f>D102*Config!$B$4</f>
        <v/>
      </c>
      <c r="F102" s="6">
        <f>LN(MAX(60,E102))</f>
        <v/>
      </c>
      <c r="G102" s="9">
        <f>MEDIAN(0,(F102-LN(Config!$B$5))/(LN(Config!$B$6)-LN(Config!$B$5)),1)</f>
        <v/>
      </c>
      <c r="H102" s="6">
        <f>MOD((Config!$B$2+$AP102*7919)*9301+49297,233280)/233280</f>
        <v/>
      </c>
      <c r="I102" s="6">
        <f>MOD((Config!$B$2+$AP102*104729)*4096+150889,714025)/714025</f>
        <v/>
      </c>
      <c r="J102" s="6">
        <f>MOD((Config!$B$2*31+$AP102*15485863)*1366+150889,714025)/714025</f>
        <v/>
      </c>
      <c r="K102" s="6" t="n"/>
      <c r="L102" s="6" t="n"/>
      <c r="M102" s="6">
        <f>COUNTIF(Siblings!$A$2:$A$84,B102)</f>
        <v/>
      </c>
      <c r="N102" s="6">
        <f>1+INT(J102*M102)</f>
        <v/>
      </c>
      <c r="O102" s="6">
        <f>IF(K102&lt;&gt;"",K102,IFERROR(INDEX(Siblings!$D$2:$D$84,MATCH(B102&amp;"|"&amp;N102,Siblings!$F$2:$F$84,0)),0))</f>
        <v/>
      </c>
      <c r="P102" s="6">
        <f>IF(L102&lt;&gt;"",L102,IFERROR(INDEX(Siblings!$E$2:$E$84,MATCH(B102&amp;"|"&amp;N102,Siblings!$F$2:$F$84,0)),0))</f>
        <v/>
      </c>
      <c r="Q102" s="6">
        <f>(INDEX('Earth curves'!$B$2:$B$46,MAX(1,MIN(44,IFERROR(MATCH(F102,'Earth curves'!$A$2:$A$46,1),1))))+(F102-INDEX('Earth curves'!$A$2:$A$46,MAX(1,MIN(44,IFERROR(MATCH(F102,'Earth curves'!$A$2:$A$46,1),1)))))*(INDEX('Earth curves'!$B$2:$B$46,MAX(1,MIN(44,IFERROR(MATCH(F102,'Earth curves'!$A$2:$A$46,1),1)))+1)-INDEX('Earth curves'!$B$2:$B$46,MAX(1,MIN(44,IFERROR(MATCH(F102,'Earth curves'!$A$2:$A$46,1),1)))))/(INDEX('Earth curves'!$A$2:$A$46,MAX(1,MIN(44,IFERROR(MATCH(F102,'Earth curves'!$A$2:$A$46,1),1)))+1)-INDEX('Earth curves'!$A$2:$A$46,MAX(1,MIN(44,IFERROR(MATCH(F102,'Earth curves'!$A$2:$A$46,1),1))))))</f>
        <v/>
      </c>
      <c r="R102" s="6">
        <f>(INDEX('Earth curves'!$C$2:$C$46,MAX(1,MIN(44,IFERROR(MATCH(F102,'Earth curves'!$A$2:$A$46,1),1))))+(F102-INDEX('Earth curves'!$A$2:$A$46,MAX(1,MIN(44,IFERROR(MATCH(F102,'Earth curves'!$A$2:$A$46,1),1)))))*(INDEX('Earth curves'!$C$2:$C$46,MAX(1,MIN(44,IFERROR(MATCH(F102,'Earth curves'!$A$2:$A$46,1),1)))+1)-INDEX('Earth curves'!$C$2:$C$46,MAX(1,MIN(44,IFERROR(MATCH(F102,'Earth curves'!$A$2:$A$46,1),1)))))/(INDEX('Earth curves'!$A$2:$A$46,MAX(1,MIN(44,IFERROR(MATCH(F102,'Earth curves'!$A$2:$A$46,1),1)))+1)-INDEX('Earth curves'!$A$2:$A$46,MAX(1,MIN(44,IFERROR(MATCH(F102,'Earth curves'!$A$2:$A$46,1),1))))))</f>
        <v/>
      </c>
      <c r="S102" s="6">
        <f>MEDIAN(0.307692,Q102+MEDIAN(-0.350583,O102+NORMSINV(H102)*0.064828*Config!$B$3,0.120277),0.993846)</f>
        <v/>
      </c>
      <c r="T102" s="10">
        <f>ROUND(Config!$B$7+(Config!$B$8-Config!$B$7)*S102,1)</f>
        <v/>
      </c>
      <c r="U102" s="11" t="n"/>
      <c r="V102" s="10">
        <f>IF(U102="",T102,U102)</f>
        <v/>
      </c>
      <c r="W102" s="6">
        <f>MEDIAN(0.05,R102+MEDIAN(-0.302219,P102+NORMSINV(I102)*0.089531*Config!$B$3,0.274961),0.999)</f>
        <v/>
      </c>
      <c r="X102" s="6">
        <f>(INDEX('Earth curves'!$F$2:$F$46,MAX(1,MIN(44,IFERROR(MATCH(W102,'Earth curves'!$E$2:$E$46,1),1))))+(W102-INDEX('Earth curves'!$E$2:$E$46,MAX(1,MIN(44,IFERROR(MATCH(W102,'Earth curves'!$E$2:$E$46,1),1)))))*(INDEX('Earth curves'!$F$2:$F$46,MAX(1,MIN(44,IFERROR(MATCH(W102,'Earth curves'!$E$2:$E$46,1),1)))+1)-INDEX('Earth curves'!$F$2:$F$46,MAX(1,MIN(44,IFERROR(MATCH(W102,'Earth curves'!$E$2:$E$46,1),1)))))/(INDEX('Earth curves'!$E$2:$E$46,MAX(1,MIN(44,IFERROR(MATCH(W102,'Earth curves'!$E$2:$E$46,1),1)))+1)-INDEX('Earth curves'!$E$2:$E$46,MAX(1,MIN(44,IFERROR(MATCH(W102,'Earth curves'!$E$2:$E$46,1),1))))))</f>
        <v/>
      </c>
      <c r="Y102" s="6">
        <f>(INDEX('Earth curves'!$G$2:$G$46,MAX(1,MIN(44,IFERROR(MATCH(W102,'Earth curves'!$E$2:$E$46,1),1))))+(W102-INDEX('Earth curves'!$E$2:$E$46,MAX(1,MIN(44,IFERROR(MATCH(W102,'Earth curves'!$E$2:$E$46,1),1)))))*(INDEX('Earth curves'!$G$2:$G$46,MAX(1,MIN(44,IFERROR(MATCH(W102,'Earth curves'!$E$2:$E$46,1),1)))+1)-INDEX('Earth curves'!$G$2:$G$46,MAX(1,MIN(44,IFERROR(MATCH(W102,'Earth curves'!$E$2:$E$46,1),1)))))/(INDEX('Earth curves'!$E$2:$E$46,MAX(1,MIN(44,IFERROR(MATCH(W102,'Earth curves'!$E$2:$E$46,1),1)))+1)-INDEX('Earth curves'!$E$2:$E$46,MAX(1,MIN(44,IFERROR(MATCH(W102,'Earth curves'!$E$2:$E$46,1),1))))))</f>
        <v/>
      </c>
      <c r="Z102" s="6">
        <f>(MIN(X102/Config!$B$9,1)+MIN(Y102/Config!$B$10,1))/2</f>
        <v/>
      </c>
      <c r="AA102" s="10">
        <f>ROUND(MIN(22,MAX(3,X102*W102/Z102)),1)</f>
        <v/>
      </c>
      <c r="AB102" s="11" t="n"/>
      <c r="AC102" s="10">
        <f>IF(AB102="",AA102,AB102)</f>
        <v/>
      </c>
      <c r="AD102" s="10">
        <f>ROUND(MIN(Config!$B$10,MAX(1,Y102*W102/Z102)),1)</f>
        <v/>
      </c>
      <c r="AE102" s="11" t="n"/>
      <c r="AF102" s="10">
        <f>IF(AE102="",AD102,AE102)</f>
        <v/>
      </c>
      <c r="AG102" s="9">
        <f>(V102-Config!$B$7)/(Config!$B$8-Config!$B$7)</f>
        <v/>
      </c>
      <c r="AH102" s="9">
        <f>(MIN(AC102/Config!$B$9,1)+MIN(AF102/Config!$B$10,1))/2</f>
        <v/>
      </c>
      <c r="AI102" s="12">
        <f>ROUND((AG102*AH102*G102)^(1/3),3)</f>
        <v/>
      </c>
      <c r="AJ102" s="12" t="n">
        <v>0.666</v>
      </c>
      <c r="AK102" s="13">
        <f>AI102-AJ102</f>
        <v/>
      </c>
      <c r="AL102" s="13">
        <f>AK102-AVERAGE($AK$2:$AK$173)</f>
        <v/>
      </c>
      <c r="AM102" s="6">
        <f>IF(ABS(AL102)&gt;Config!$B$11,"REVIEW","")</f>
        <v/>
      </c>
      <c r="AN102" s="14">
        <f>RANK(AI102,$AI$2:$AI$173)</f>
        <v/>
      </c>
      <c r="AO102" s="14">
        <f>RANK(AJ102,$AJ$2:$AJ$173)</f>
        <v/>
      </c>
      <c r="AP102" s="14" t="n">
        <v>102</v>
      </c>
    </row>
    <row r="103">
      <c r="A103" s="6" t="inlineStr">
        <is>
          <t>Palina</t>
        </is>
      </c>
      <c r="B103" s="6" t="inlineStr">
        <is>
          <t>Ayuma</t>
        </is>
      </c>
      <c r="C103" s="6" t="inlineStr">
        <is>
          <t>—</t>
        </is>
      </c>
      <c r="D103" s="7" t="n">
        <v>118730</v>
      </c>
      <c r="E103" s="8">
        <f>D103*Config!$B$4</f>
        <v/>
      </c>
      <c r="F103" s="6">
        <f>LN(MAX(60,E103))</f>
        <v/>
      </c>
      <c r="G103" s="9">
        <f>MEDIAN(0,(F103-LN(Config!$B$5))/(LN(Config!$B$6)-LN(Config!$B$5)),1)</f>
        <v/>
      </c>
      <c r="H103" s="6">
        <f>MOD((Config!$B$2+$AP103*7919)*9301+49297,233280)/233280</f>
        <v/>
      </c>
      <c r="I103" s="6">
        <f>MOD((Config!$B$2+$AP103*104729)*4096+150889,714025)/714025</f>
        <v/>
      </c>
      <c r="J103" s="6">
        <f>MOD((Config!$B$2*31+$AP103*15485863)*1366+150889,714025)/714025</f>
        <v/>
      </c>
      <c r="K103" s="6" t="n">
        <v>0.030638</v>
      </c>
      <c r="L103" s="6" t="n">
        <v>0.0823</v>
      </c>
      <c r="M103" s="6">
        <f>COUNTIF(Siblings!$A$2:$A$84,B103)</f>
        <v/>
      </c>
      <c r="N103" s="6">
        <f>1+INT(J103*M103)</f>
        <v/>
      </c>
      <c r="O103" s="6">
        <f>IF(K103&lt;&gt;"",K103,IFERROR(INDEX(Siblings!$D$2:$D$84,MATCH(B103&amp;"|"&amp;N103,Siblings!$F$2:$F$84,0)),0))</f>
        <v/>
      </c>
      <c r="P103" s="6">
        <f>IF(L103&lt;&gt;"",L103,IFERROR(INDEX(Siblings!$E$2:$E$84,MATCH(B103&amp;"|"&amp;N103,Siblings!$F$2:$F$84,0)),0))</f>
        <v/>
      </c>
      <c r="Q103" s="6">
        <f>(INDEX('Earth curves'!$B$2:$B$46,MAX(1,MIN(44,IFERROR(MATCH(F103,'Earth curves'!$A$2:$A$46,1),1))))+(F103-INDEX('Earth curves'!$A$2:$A$46,MAX(1,MIN(44,IFERROR(MATCH(F103,'Earth curves'!$A$2:$A$46,1),1)))))*(INDEX('Earth curves'!$B$2:$B$46,MAX(1,MIN(44,IFERROR(MATCH(F103,'Earth curves'!$A$2:$A$46,1),1)))+1)-INDEX('Earth curves'!$B$2:$B$46,MAX(1,MIN(44,IFERROR(MATCH(F103,'Earth curves'!$A$2:$A$46,1),1)))))/(INDEX('Earth curves'!$A$2:$A$46,MAX(1,MIN(44,IFERROR(MATCH(F103,'Earth curves'!$A$2:$A$46,1),1)))+1)-INDEX('Earth curves'!$A$2:$A$46,MAX(1,MIN(44,IFERROR(MATCH(F103,'Earth curves'!$A$2:$A$46,1),1))))))</f>
        <v/>
      </c>
      <c r="R103" s="6">
        <f>(INDEX('Earth curves'!$C$2:$C$46,MAX(1,MIN(44,IFERROR(MATCH(F103,'Earth curves'!$A$2:$A$46,1),1))))+(F103-INDEX('Earth curves'!$A$2:$A$46,MAX(1,MIN(44,IFERROR(MATCH(F103,'Earth curves'!$A$2:$A$46,1),1)))))*(INDEX('Earth curves'!$C$2:$C$46,MAX(1,MIN(44,IFERROR(MATCH(F103,'Earth curves'!$A$2:$A$46,1),1)))+1)-INDEX('Earth curves'!$C$2:$C$46,MAX(1,MIN(44,IFERROR(MATCH(F103,'Earth curves'!$A$2:$A$46,1),1)))))/(INDEX('Earth curves'!$A$2:$A$46,MAX(1,MIN(44,IFERROR(MATCH(F103,'Earth curves'!$A$2:$A$46,1),1)))+1)-INDEX('Earth curves'!$A$2:$A$46,MAX(1,MIN(44,IFERROR(MATCH(F103,'Earth curves'!$A$2:$A$46,1),1))))))</f>
        <v/>
      </c>
      <c r="S103" s="6">
        <f>MEDIAN(0.307692,Q103+MEDIAN(-0.350583,O103+NORMSINV(H103)*0.064828*Config!$B$3,0.120277),0.993846)</f>
        <v/>
      </c>
      <c r="T103" s="10">
        <f>ROUND(Config!$B$7+(Config!$B$8-Config!$B$7)*S103,1)</f>
        <v/>
      </c>
      <c r="U103" s="11" t="n"/>
      <c r="V103" s="10">
        <f>IF(U103="",T103,U103)</f>
        <v/>
      </c>
      <c r="W103" s="6">
        <f>MEDIAN(0.05,R103+MEDIAN(-0.302219,P103+NORMSINV(I103)*0.089531*Config!$B$3,0.274961),0.999)</f>
        <v/>
      </c>
      <c r="X103" s="6">
        <f>(INDEX('Earth curves'!$F$2:$F$46,MAX(1,MIN(44,IFERROR(MATCH(W103,'Earth curves'!$E$2:$E$46,1),1))))+(W103-INDEX('Earth curves'!$E$2:$E$46,MAX(1,MIN(44,IFERROR(MATCH(W103,'Earth curves'!$E$2:$E$46,1),1)))))*(INDEX('Earth curves'!$F$2:$F$46,MAX(1,MIN(44,IFERROR(MATCH(W103,'Earth curves'!$E$2:$E$46,1),1)))+1)-INDEX('Earth curves'!$F$2:$F$46,MAX(1,MIN(44,IFERROR(MATCH(W103,'Earth curves'!$E$2:$E$46,1),1)))))/(INDEX('Earth curves'!$E$2:$E$46,MAX(1,MIN(44,IFERROR(MATCH(W103,'Earth curves'!$E$2:$E$46,1),1)))+1)-INDEX('Earth curves'!$E$2:$E$46,MAX(1,MIN(44,IFERROR(MATCH(W103,'Earth curves'!$E$2:$E$46,1),1))))))</f>
        <v/>
      </c>
      <c r="Y103" s="6">
        <f>(INDEX('Earth curves'!$G$2:$G$46,MAX(1,MIN(44,IFERROR(MATCH(W103,'Earth curves'!$E$2:$E$46,1),1))))+(W103-INDEX('Earth curves'!$E$2:$E$46,MAX(1,MIN(44,IFERROR(MATCH(W103,'Earth curves'!$E$2:$E$46,1),1)))))*(INDEX('Earth curves'!$G$2:$G$46,MAX(1,MIN(44,IFERROR(MATCH(W103,'Earth curves'!$E$2:$E$46,1),1)))+1)-INDEX('Earth curves'!$G$2:$G$46,MAX(1,MIN(44,IFERROR(MATCH(W103,'Earth curves'!$E$2:$E$46,1),1)))))/(INDEX('Earth curves'!$E$2:$E$46,MAX(1,MIN(44,IFERROR(MATCH(W103,'Earth curves'!$E$2:$E$46,1),1)))+1)-INDEX('Earth curves'!$E$2:$E$46,MAX(1,MIN(44,IFERROR(MATCH(W103,'Earth curves'!$E$2:$E$46,1),1))))))</f>
        <v/>
      </c>
      <c r="Z103" s="6">
        <f>(MIN(X103/Config!$B$9,1)+MIN(Y103/Config!$B$10,1))/2</f>
        <v/>
      </c>
      <c r="AA103" s="10">
        <f>ROUND(MIN(22,MAX(3,X103*W103/Z103)),1)</f>
        <v/>
      </c>
      <c r="AB103" s="11" t="n"/>
      <c r="AC103" s="10">
        <f>IF(AB103="",AA103,AB103)</f>
        <v/>
      </c>
      <c r="AD103" s="10">
        <f>ROUND(MIN(Config!$B$10,MAX(1,Y103*W103/Z103)),1)</f>
        <v/>
      </c>
      <c r="AE103" s="11" t="n"/>
      <c r="AF103" s="10">
        <f>IF(AE103="",AD103,AE103)</f>
        <v/>
      </c>
      <c r="AG103" s="9">
        <f>(V103-Config!$B$7)/(Config!$B$8-Config!$B$7)</f>
        <v/>
      </c>
      <c r="AH103" s="9">
        <f>(MIN(AC103/Config!$B$9,1)+MIN(AF103/Config!$B$10,1))/2</f>
        <v/>
      </c>
      <c r="AI103" s="12">
        <f>ROUND((AG103*AH103*G103)^(1/3),3)</f>
        <v/>
      </c>
      <c r="AJ103" s="12" t="n">
        <v>0.865</v>
      </c>
      <c r="AK103" s="13">
        <f>AI103-AJ103</f>
        <v/>
      </c>
      <c r="AL103" s="13">
        <f>AK103-AVERAGE($AK$2:$AK$173)</f>
        <v/>
      </c>
      <c r="AM103" s="6">
        <f>IF(ABS(AL103)&gt;Config!$B$11,"REVIEW","")</f>
        <v/>
      </c>
      <c r="AN103" s="14">
        <f>RANK(AI103,$AI$2:$AI$173)</f>
        <v/>
      </c>
      <c r="AO103" s="14">
        <f>RANK(AJ103,$AJ$2:$AJ$173)</f>
        <v/>
      </c>
      <c r="AP103" s="14" t="n">
        <v>103</v>
      </c>
    </row>
    <row r="104">
      <c r="A104" s="6" t="inlineStr">
        <is>
          <t>Peka</t>
        </is>
      </c>
      <c r="B104" s="6" t="inlineStr">
        <is>
          <t>Atirha</t>
        </is>
      </c>
      <c r="C104" s="6" t="inlineStr">
        <is>
          <t>resource</t>
        </is>
      </c>
      <c r="D104" s="7" t="n">
        <v>116508</v>
      </c>
      <c r="E104" s="8">
        <f>D104*Config!$B$4</f>
        <v/>
      </c>
      <c r="F104" s="6">
        <f>LN(MAX(60,E104))</f>
        <v/>
      </c>
      <c r="G104" s="9">
        <f>MEDIAN(0,(F104-LN(Config!$B$5))/(LN(Config!$B$6)-LN(Config!$B$5)),1)</f>
        <v/>
      </c>
      <c r="H104" s="6">
        <f>MOD((Config!$B$2+$AP104*7919)*9301+49297,233280)/233280</f>
        <v/>
      </c>
      <c r="I104" s="6">
        <f>MOD((Config!$B$2+$AP104*104729)*4096+150889,714025)/714025</f>
        <v/>
      </c>
      <c r="J104" s="6">
        <f>MOD((Config!$B$2*31+$AP104*15485863)*1366+150889,714025)/714025</f>
        <v/>
      </c>
      <c r="K104" s="6" t="n"/>
      <c r="L104" s="6" t="n"/>
      <c r="M104" s="6">
        <f>COUNTIF(Siblings!$A$2:$A$84,B104)</f>
        <v/>
      </c>
      <c r="N104" s="6">
        <f>1+INT(J104*M104)</f>
        <v/>
      </c>
      <c r="O104" s="6">
        <f>IF(K104&lt;&gt;"",K104,IFERROR(INDEX(Siblings!$D$2:$D$84,MATCH(B104&amp;"|"&amp;N104,Siblings!$F$2:$F$84,0)),0))</f>
        <v/>
      </c>
      <c r="P104" s="6">
        <f>IF(L104&lt;&gt;"",L104,IFERROR(INDEX(Siblings!$E$2:$E$84,MATCH(B104&amp;"|"&amp;N104,Siblings!$F$2:$F$84,0)),0))</f>
        <v/>
      </c>
      <c r="Q104" s="6">
        <f>(INDEX('Earth curves'!$B$2:$B$46,MAX(1,MIN(44,IFERROR(MATCH(F104,'Earth curves'!$A$2:$A$46,1),1))))+(F104-INDEX('Earth curves'!$A$2:$A$46,MAX(1,MIN(44,IFERROR(MATCH(F104,'Earth curves'!$A$2:$A$46,1),1)))))*(INDEX('Earth curves'!$B$2:$B$46,MAX(1,MIN(44,IFERROR(MATCH(F104,'Earth curves'!$A$2:$A$46,1),1)))+1)-INDEX('Earth curves'!$B$2:$B$46,MAX(1,MIN(44,IFERROR(MATCH(F104,'Earth curves'!$A$2:$A$46,1),1)))))/(INDEX('Earth curves'!$A$2:$A$46,MAX(1,MIN(44,IFERROR(MATCH(F104,'Earth curves'!$A$2:$A$46,1),1)))+1)-INDEX('Earth curves'!$A$2:$A$46,MAX(1,MIN(44,IFERROR(MATCH(F104,'Earth curves'!$A$2:$A$46,1),1))))))</f>
        <v/>
      </c>
      <c r="R104" s="6">
        <f>(INDEX('Earth curves'!$C$2:$C$46,MAX(1,MIN(44,IFERROR(MATCH(F104,'Earth curves'!$A$2:$A$46,1),1))))+(F104-INDEX('Earth curves'!$A$2:$A$46,MAX(1,MIN(44,IFERROR(MATCH(F104,'Earth curves'!$A$2:$A$46,1),1)))))*(INDEX('Earth curves'!$C$2:$C$46,MAX(1,MIN(44,IFERROR(MATCH(F104,'Earth curves'!$A$2:$A$46,1),1)))+1)-INDEX('Earth curves'!$C$2:$C$46,MAX(1,MIN(44,IFERROR(MATCH(F104,'Earth curves'!$A$2:$A$46,1),1)))))/(INDEX('Earth curves'!$A$2:$A$46,MAX(1,MIN(44,IFERROR(MATCH(F104,'Earth curves'!$A$2:$A$46,1),1)))+1)-INDEX('Earth curves'!$A$2:$A$46,MAX(1,MIN(44,IFERROR(MATCH(F104,'Earth curves'!$A$2:$A$46,1),1))))))</f>
        <v/>
      </c>
      <c r="S104" s="6">
        <f>MEDIAN(0.307692,Q104+MEDIAN(-0.350583,O104+NORMSINV(H104)*0.064828*Config!$B$3,0.120277),0.993846)</f>
        <v/>
      </c>
      <c r="T104" s="10">
        <f>ROUND(Config!$B$7+(Config!$B$8-Config!$B$7)*S104,1)</f>
        <v/>
      </c>
      <c r="U104" s="11" t="n"/>
      <c r="V104" s="10">
        <f>IF(U104="",T104,U104)</f>
        <v/>
      </c>
      <c r="W104" s="6">
        <f>MEDIAN(0.05,R104+MEDIAN(-0.302219,P104+NORMSINV(I104)*0.089531*Config!$B$3,0.274961),0.999)</f>
        <v/>
      </c>
      <c r="X104" s="6">
        <f>(INDEX('Earth curves'!$F$2:$F$46,MAX(1,MIN(44,IFERROR(MATCH(W104,'Earth curves'!$E$2:$E$46,1),1))))+(W104-INDEX('Earth curves'!$E$2:$E$46,MAX(1,MIN(44,IFERROR(MATCH(W104,'Earth curves'!$E$2:$E$46,1),1)))))*(INDEX('Earth curves'!$F$2:$F$46,MAX(1,MIN(44,IFERROR(MATCH(W104,'Earth curves'!$E$2:$E$46,1),1)))+1)-INDEX('Earth curves'!$F$2:$F$46,MAX(1,MIN(44,IFERROR(MATCH(W104,'Earth curves'!$E$2:$E$46,1),1)))))/(INDEX('Earth curves'!$E$2:$E$46,MAX(1,MIN(44,IFERROR(MATCH(W104,'Earth curves'!$E$2:$E$46,1),1)))+1)-INDEX('Earth curves'!$E$2:$E$46,MAX(1,MIN(44,IFERROR(MATCH(W104,'Earth curves'!$E$2:$E$46,1),1))))))</f>
        <v/>
      </c>
      <c r="Y104" s="6">
        <f>(INDEX('Earth curves'!$G$2:$G$46,MAX(1,MIN(44,IFERROR(MATCH(W104,'Earth curves'!$E$2:$E$46,1),1))))+(W104-INDEX('Earth curves'!$E$2:$E$46,MAX(1,MIN(44,IFERROR(MATCH(W104,'Earth curves'!$E$2:$E$46,1),1)))))*(INDEX('Earth curves'!$G$2:$G$46,MAX(1,MIN(44,IFERROR(MATCH(W104,'Earth curves'!$E$2:$E$46,1),1)))+1)-INDEX('Earth curves'!$G$2:$G$46,MAX(1,MIN(44,IFERROR(MATCH(W104,'Earth curves'!$E$2:$E$46,1),1)))))/(INDEX('Earth curves'!$E$2:$E$46,MAX(1,MIN(44,IFERROR(MATCH(W104,'Earth curves'!$E$2:$E$46,1),1)))+1)-INDEX('Earth curves'!$E$2:$E$46,MAX(1,MIN(44,IFERROR(MATCH(W104,'Earth curves'!$E$2:$E$46,1),1))))))</f>
        <v/>
      </c>
      <c r="Z104" s="6">
        <f>(MIN(X104/Config!$B$9,1)+MIN(Y104/Config!$B$10,1))/2</f>
        <v/>
      </c>
      <c r="AA104" s="10">
        <f>ROUND(MIN(22,MAX(3,X104*W104/Z104)),1)</f>
        <v/>
      </c>
      <c r="AB104" s="11" t="n"/>
      <c r="AC104" s="10">
        <f>IF(AB104="",AA104,AB104)</f>
        <v/>
      </c>
      <c r="AD104" s="10">
        <f>ROUND(MIN(Config!$B$10,MAX(1,Y104*W104/Z104)),1)</f>
        <v/>
      </c>
      <c r="AE104" s="11" t="n"/>
      <c r="AF104" s="10">
        <f>IF(AE104="",AD104,AE104)</f>
        <v/>
      </c>
      <c r="AG104" s="9">
        <f>(V104-Config!$B$7)/(Config!$B$8-Config!$B$7)</f>
        <v/>
      </c>
      <c r="AH104" s="9">
        <f>(MIN(AC104/Config!$B$9,1)+MIN(AF104/Config!$B$10,1))/2</f>
        <v/>
      </c>
      <c r="AI104" s="12">
        <f>ROUND((AG104*AH104*G104)^(1/3),3)</f>
        <v/>
      </c>
      <c r="AJ104" s="12" t="n">
        <v>0.907</v>
      </c>
      <c r="AK104" s="13">
        <f>AI104-AJ104</f>
        <v/>
      </c>
      <c r="AL104" s="13">
        <f>AK104-AVERAGE($AK$2:$AK$173)</f>
        <v/>
      </c>
      <c r="AM104" s="6">
        <f>IF(ABS(AL104)&gt;Config!$B$11,"REVIEW","")</f>
        <v/>
      </c>
      <c r="AN104" s="14">
        <f>RANK(AI104,$AI$2:$AI$173)</f>
        <v/>
      </c>
      <c r="AO104" s="14">
        <f>RANK(AJ104,$AJ$2:$AJ$173)</f>
        <v/>
      </c>
      <c r="AP104" s="14" t="n">
        <v>104</v>
      </c>
    </row>
    <row r="105">
      <c r="A105" s="6" t="inlineStr">
        <is>
          <t>Pelan</t>
        </is>
      </c>
      <c r="B105" s="6" t="inlineStr">
        <is>
          <t>Atirha</t>
        </is>
      </c>
      <c r="C105" s="6" t="inlineStr">
        <is>
          <t>—</t>
        </is>
      </c>
      <c r="D105" s="7" t="n">
        <v>40317</v>
      </c>
      <c r="E105" s="8">
        <f>D105*Config!$B$4</f>
        <v/>
      </c>
      <c r="F105" s="6">
        <f>LN(MAX(60,E105))</f>
        <v/>
      </c>
      <c r="G105" s="9">
        <f>MEDIAN(0,(F105-LN(Config!$B$5))/(LN(Config!$B$6)-LN(Config!$B$5)),1)</f>
        <v/>
      </c>
      <c r="H105" s="6">
        <f>MOD((Config!$B$2+$AP105*7919)*9301+49297,233280)/233280</f>
        <v/>
      </c>
      <c r="I105" s="6">
        <f>MOD((Config!$B$2+$AP105*104729)*4096+150889,714025)/714025</f>
        <v/>
      </c>
      <c r="J105" s="6">
        <f>MOD((Config!$B$2*31+$AP105*15485863)*1366+150889,714025)/714025</f>
        <v/>
      </c>
      <c r="K105" s="6" t="n">
        <v>-0.004779</v>
      </c>
      <c r="L105" s="6" t="n">
        <v>0.007123</v>
      </c>
      <c r="M105" s="6">
        <f>COUNTIF(Siblings!$A$2:$A$84,B105)</f>
        <v/>
      </c>
      <c r="N105" s="6">
        <f>1+INT(J105*M105)</f>
        <v/>
      </c>
      <c r="O105" s="6">
        <f>IF(K105&lt;&gt;"",K105,IFERROR(INDEX(Siblings!$D$2:$D$84,MATCH(B105&amp;"|"&amp;N105,Siblings!$F$2:$F$84,0)),0))</f>
        <v/>
      </c>
      <c r="P105" s="6">
        <f>IF(L105&lt;&gt;"",L105,IFERROR(INDEX(Siblings!$E$2:$E$84,MATCH(B105&amp;"|"&amp;N105,Siblings!$F$2:$F$84,0)),0))</f>
        <v/>
      </c>
      <c r="Q105" s="6">
        <f>(INDEX('Earth curves'!$B$2:$B$46,MAX(1,MIN(44,IFERROR(MATCH(F105,'Earth curves'!$A$2:$A$46,1),1))))+(F105-INDEX('Earth curves'!$A$2:$A$46,MAX(1,MIN(44,IFERROR(MATCH(F105,'Earth curves'!$A$2:$A$46,1),1)))))*(INDEX('Earth curves'!$B$2:$B$46,MAX(1,MIN(44,IFERROR(MATCH(F105,'Earth curves'!$A$2:$A$46,1),1)))+1)-INDEX('Earth curves'!$B$2:$B$46,MAX(1,MIN(44,IFERROR(MATCH(F105,'Earth curves'!$A$2:$A$46,1),1)))))/(INDEX('Earth curves'!$A$2:$A$46,MAX(1,MIN(44,IFERROR(MATCH(F105,'Earth curves'!$A$2:$A$46,1),1)))+1)-INDEX('Earth curves'!$A$2:$A$46,MAX(1,MIN(44,IFERROR(MATCH(F105,'Earth curves'!$A$2:$A$46,1),1))))))</f>
        <v/>
      </c>
      <c r="R105" s="6">
        <f>(INDEX('Earth curves'!$C$2:$C$46,MAX(1,MIN(44,IFERROR(MATCH(F105,'Earth curves'!$A$2:$A$46,1),1))))+(F105-INDEX('Earth curves'!$A$2:$A$46,MAX(1,MIN(44,IFERROR(MATCH(F105,'Earth curves'!$A$2:$A$46,1),1)))))*(INDEX('Earth curves'!$C$2:$C$46,MAX(1,MIN(44,IFERROR(MATCH(F105,'Earth curves'!$A$2:$A$46,1),1)))+1)-INDEX('Earth curves'!$C$2:$C$46,MAX(1,MIN(44,IFERROR(MATCH(F105,'Earth curves'!$A$2:$A$46,1),1)))))/(INDEX('Earth curves'!$A$2:$A$46,MAX(1,MIN(44,IFERROR(MATCH(F105,'Earth curves'!$A$2:$A$46,1),1)))+1)-INDEX('Earth curves'!$A$2:$A$46,MAX(1,MIN(44,IFERROR(MATCH(F105,'Earth curves'!$A$2:$A$46,1),1))))))</f>
        <v/>
      </c>
      <c r="S105" s="6">
        <f>MEDIAN(0.307692,Q105+MEDIAN(-0.350583,O105+NORMSINV(H105)*0.064828*Config!$B$3,0.120277),0.993846)</f>
        <v/>
      </c>
      <c r="T105" s="10">
        <f>ROUND(Config!$B$7+(Config!$B$8-Config!$B$7)*S105,1)</f>
        <v/>
      </c>
      <c r="U105" s="11" t="n"/>
      <c r="V105" s="10">
        <f>IF(U105="",T105,U105)</f>
        <v/>
      </c>
      <c r="W105" s="6">
        <f>MEDIAN(0.05,R105+MEDIAN(-0.302219,P105+NORMSINV(I105)*0.089531*Config!$B$3,0.274961),0.999)</f>
        <v/>
      </c>
      <c r="X105" s="6">
        <f>(INDEX('Earth curves'!$F$2:$F$46,MAX(1,MIN(44,IFERROR(MATCH(W105,'Earth curves'!$E$2:$E$46,1),1))))+(W105-INDEX('Earth curves'!$E$2:$E$46,MAX(1,MIN(44,IFERROR(MATCH(W105,'Earth curves'!$E$2:$E$46,1),1)))))*(INDEX('Earth curves'!$F$2:$F$46,MAX(1,MIN(44,IFERROR(MATCH(W105,'Earth curves'!$E$2:$E$46,1),1)))+1)-INDEX('Earth curves'!$F$2:$F$46,MAX(1,MIN(44,IFERROR(MATCH(W105,'Earth curves'!$E$2:$E$46,1),1)))))/(INDEX('Earth curves'!$E$2:$E$46,MAX(1,MIN(44,IFERROR(MATCH(W105,'Earth curves'!$E$2:$E$46,1),1)))+1)-INDEX('Earth curves'!$E$2:$E$46,MAX(1,MIN(44,IFERROR(MATCH(W105,'Earth curves'!$E$2:$E$46,1),1))))))</f>
        <v/>
      </c>
      <c r="Y105" s="6">
        <f>(INDEX('Earth curves'!$G$2:$G$46,MAX(1,MIN(44,IFERROR(MATCH(W105,'Earth curves'!$E$2:$E$46,1),1))))+(W105-INDEX('Earth curves'!$E$2:$E$46,MAX(1,MIN(44,IFERROR(MATCH(W105,'Earth curves'!$E$2:$E$46,1),1)))))*(INDEX('Earth curves'!$G$2:$G$46,MAX(1,MIN(44,IFERROR(MATCH(W105,'Earth curves'!$E$2:$E$46,1),1)))+1)-INDEX('Earth curves'!$G$2:$G$46,MAX(1,MIN(44,IFERROR(MATCH(W105,'Earth curves'!$E$2:$E$46,1),1)))))/(INDEX('Earth curves'!$E$2:$E$46,MAX(1,MIN(44,IFERROR(MATCH(W105,'Earth curves'!$E$2:$E$46,1),1)))+1)-INDEX('Earth curves'!$E$2:$E$46,MAX(1,MIN(44,IFERROR(MATCH(W105,'Earth curves'!$E$2:$E$46,1),1))))))</f>
        <v/>
      </c>
      <c r="Z105" s="6">
        <f>(MIN(X105/Config!$B$9,1)+MIN(Y105/Config!$B$10,1))/2</f>
        <v/>
      </c>
      <c r="AA105" s="10">
        <f>ROUND(MIN(22,MAX(3,X105*W105/Z105)),1)</f>
        <v/>
      </c>
      <c r="AB105" s="11" t="n"/>
      <c r="AC105" s="10">
        <f>IF(AB105="",AA105,AB105)</f>
        <v/>
      </c>
      <c r="AD105" s="10">
        <f>ROUND(MIN(Config!$B$10,MAX(1,Y105*W105/Z105)),1)</f>
        <v/>
      </c>
      <c r="AE105" s="11" t="n"/>
      <c r="AF105" s="10">
        <f>IF(AE105="",AD105,AE105)</f>
        <v/>
      </c>
      <c r="AG105" s="9">
        <f>(V105-Config!$B$7)/(Config!$B$8-Config!$B$7)</f>
        <v/>
      </c>
      <c r="AH105" s="9">
        <f>(MIN(AC105/Config!$B$9,1)+MIN(AF105/Config!$B$10,1))/2</f>
        <v/>
      </c>
      <c r="AI105" s="12">
        <f>ROUND((AG105*AH105*G105)^(1/3),3)</f>
        <v/>
      </c>
      <c r="AJ105" s="12" t="n">
        <v>0.668</v>
      </c>
      <c r="AK105" s="13">
        <f>AI105-AJ105</f>
        <v/>
      </c>
      <c r="AL105" s="13">
        <f>AK105-AVERAGE($AK$2:$AK$173)</f>
        <v/>
      </c>
      <c r="AM105" s="6">
        <f>IF(ABS(AL105)&gt;Config!$B$11,"REVIEW","")</f>
        <v/>
      </c>
      <c r="AN105" s="14">
        <f>RANK(AI105,$AI$2:$AI$173)</f>
        <v/>
      </c>
      <c r="AO105" s="14">
        <f>RANK(AJ105,$AJ$2:$AJ$173)</f>
        <v/>
      </c>
      <c r="AP105" s="14" t="n">
        <v>105</v>
      </c>
    </row>
    <row r="106">
      <c r="A106" s="6" t="inlineStr">
        <is>
          <t>Pelines</t>
        </is>
      </c>
      <c r="B106" s="6" t="inlineStr">
        <is>
          <t>Acrola</t>
        </is>
      </c>
      <c r="C106" s="6" t="inlineStr">
        <is>
          <t>resource</t>
        </is>
      </c>
      <c r="D106" s="7" t="n">
        <v>20476</v>
      </c>
      <c r="E106" s="8">
        <f>D106*Config!$B$4</f>
        <v/>
      </c>
      <c r="F106" s="6">
        <f>LN(MAX(60,E106))</f>
        <v/>
      </c>
      <c r="G106" s="9">
        <f>MEDIAN(0,(F106-LN(Config!$B$5))/(LN(Config!$B$6)-LN(Config!$B$5)),1)</f>
        <v/>
      </c>
      <c r="H106" s="6">
        <f>MOD((Config!$B$2+$AP106*7919)*9301+49297,233280)/233280</f>
        <v/>
      </c>
      <c r="I106" s="6">
        <f>MOD((Config!$B$2+$AP106*104729)*4096+150889,714025)/714025</f>
        <v/>
      </c>
      <c r="J106" s="6">
        <f>MOD((Config!$B$2*31+$AP106*15485863)*1366+150889,714025)/714025</f>
        <v/>
      </c>
      <c r="K106" s="6" t="n">
        <v>-0.232401</v>
      </c>
      <c r="L106" s="6" t="n">
        <v>-0.078778</v>
      </c>
      <c r="M106" s="6">
        <f>COUNTIF(Siblings!$A$2:$A$84,B106)</f>
        <v/>
      </c>
      <c r="N106" s="6">
        <f>1+INT(J106*M106)</f>
        <v/>
      </c>
      <c r="O106" s="6">
        <f>IF(K106&lt;&gt;"",K106,IFERROR(INDEX(Siblings!$D$2:$D$84,MATCH(B106&amp;"|"&amp;N106,Siblings!$F$2:$F$84,0)),0))</f>
        <v/>
      </c>
      <c r="P106" s="6">
        <f>IF(L106&lt;&gt;"",L106,IFERROR(INDEX(Siblings!$E$2:$E$84,MATCH(B106&amp;"|"&amp;N106,Siblings!$F$2:$F$84,0)),0))</f>
        <v/>
      </c>
      <c r="Q106" s="6">
        <f>(INDEX('Earth curves'!$B$2:$B$46,MAX(1,MIN(44,IFERROR(MATCH(F106,'Earth curves'!$A$2:$A$46,1),1))))+(F106-INDEX('Earth curves'!$A$2:$A$46,MAX(1,MIN(44,IFERROR(MATCH(F106,'Earth curves'!$A$2:$A$46,1),1)))))*(INDEX('Earth curves'!$B$2:$B$46,MAX(1,MIN(44,IFERROR(MATCH(F106,'Earth curves'!$A$2:$A$46,1),1)))+1)-INDEX('Earth curves'!$B$2:$B$46,MAX(1,MIN(44,IFERROR(MATCH(F106,'Earth curves'!$A$2:$A$46,1),1)))))/(INDEX('Earth curves'!$A$2:$A$46,MAX(1,MIN(44,IFERROR(MATCH(F106,'Earth curves'!$A$2:$A$46,1),1)))+1)-INDEX('Earth curves'!$A$2:$A$46,MAX(1,MIN(44,IFERROR(MATCH(F106,'Earth curves'!$A$2:$A$46,1),1))))))</f>
        <v/>
      </c>
      <c r="R106" s="6">
        <f>(INDEX('Earth curves'!$C$2:$C$46,MAX(1,MIN(44,IFERROR(MATCH(F106,'Earth curves'!$A$2:$A$46,1),1))))+(F106-INDEX('Earth curves'!$A$2:$A$46,MAX(1,MIN(44,IFERROR(MATCH(F106,'Earth curves'!$A$2:$A$46,1),1)))))*(INDEX('Earth curves'!$C$2:$C$46,MAX(1,MIN(44,IFERROR(MATCH(F106,'Earth curves'!$A$2:$A$46,1),1)))+1)-INDEX('Earth curves'!$C$2:$C$46,MAX(1,MIN(44,IFERROR(MATCH(F106,'Earth curves'!$A$2:$A$46,1),1)))))/(INDEX('Earth curves'!$A$2:$A$46,MAX(1,MIN(44,IFERROR(MATCH(F106,'Earth curves'!$A$2:$A$46,1),1)))+1)-INDEX('Earth curves'!$A$2:$A$46,MAX(1,MIN(44,IFERROR(MATCH(F106,'Earth curves'!$A$2:$A$46,1),1))))))</f>
        <v/>
      </c>
      <c r="S106" s="6">
        <f>MEDIAN(0.307692,Q106+MEDIAN(-0.350583,O106+NORMSINV(H106)*0.064828*Config!$B$3,0.120277),0.993846)</f>
        <v/>
      </c>
      <c r="T106" s="10">
        <f>ROUND(Config!$B$7+(Config!$B$8-Config!$B$7)*S106,1)</f>
        <v/>
      </c>
      <c r="U106" s="11" t="n"/>
      <c r="V106" s="10">
        <f>IF(U106="",T106,U106)</f>
        <v/>
      </c>
      <c r="W106" s="6">
        <f>MEDIAN(0.05,R106+MEDIAN(-0.302219,P106+NORMSINV(I106)*0.089531*Config!$B$3,0.274961),0.999)</f>
        <v/>
      </c>
      <c r="X106" s="6">
        <f>(INDEX('Earth curves'!$F$2:$F$46,MAX(1,MIN(44,IFERROR(MATCH(W106,'Earth curves'!$E$2:$E$46,1),1))))+(W106-INDEX('Earth curves'!$E$2:$E$46,MAX(1,MIN(44,IFERROR(MATCH(W106,'Earth curves'!$E$2:$E$46,1),1)))))*(INDEX('Earth curves'!$F$2:$F$46,MAX(1,MIN(44,IFERROR(MATCH(W106,'Earth curves'!$E$2:$E$46,1),1)))+1)-INDEX('Earth curves'!$F$2:$F$46,MAX(1,MIN(44,IFERROR(MATCH(W106,'Earth curves'!$E$2:$E$46,1),1)))))/(INDEX('Earth curves'!$E$2:$E$46,MAX(1,MIN(44,IFERROR(MATCH(W106,'Earth curves'!$E$2:$E$46,1),1)))+1)-INDEX('Earth curves'!$E$2:$E$46,MAX(1,MIN(44,IFERROR(MATCH(W106,'Earth curves'!$E$2:$E$46,1),1))))))</f>
        <v/>
      </c>
      <c r="Y106" s="6">
        <f>(INDEX('Earth curves'!$G$2:$G$46,MAX(1,MIN(44,IFERROR(MATCH(W106,'Earth curves'!$E$2:$E$46,1),1))))+(W106-INDEX('Earth curves'!$E$2:$E$46,MAX(1,MIN(44,IFERROR(MATCH(W106,'Earth curves'!$E$2:$E$46,1),1)))))*(INDEX('Earth curves'!$G$2:$G$46,MAX(1,MIN(44,IFERROR(MATCH(W106,'Earth curves'!$E$2:$E$46,1),1)))+1)-INDEX('Earth curves'!$G$2:$G$46,MAX(1,MIN(44,IFERROR(MATCH(W106,'Earth curves'!$E$2:$E$46,1),1)))))/(INDEX('Earth curves'!$E$2:$E$46,MAX(1,MIN(44,IFERROR(MATCH(W106,'Earth curves'!$E$2:$E$46,1),1)))+1)-INDEX('Earth curves'!$E$2:$E$46,MAX(1,MIN(44,IFERROR(MATCH(W106,'Earth curves'!$E$2:$E$46,1),1))))))</f>
        <v/>
      </c>
      <c r="Z106" s="6">
        <f>(MIN(X106/Config!$B$9,1)+MIN(Y106/Config!$B$10,1))/2</f>
        <v/>
      </c>
      <c r="AA106" s="10">
        <f>ROUND(MIN(22,MAX(3,X106*W106/Z106)),1)</f>
        <v/>
      </c>
      <c r="AB106" s="11" t="n"/>
      <c r="AC106" s="10">
        <f>IF(AB106="",AA106,AB106)</f>
        <v/>
      </c>
      <c r="AD106" s="10">
        <f>ROUND(MIN(Config!$B$10,MAX(1,Y106*W106/Z106)),1)</f>
        <v/>
      </c>
      <c r="AE106" s="11" t="n"/>
      <c r="AF106" s="10">
        <f>IF(AE106="",AD106,AE106)</f>
        <v/>
      </c>
      <c r="AG106" s="9">
        <f>(V106-Config!$B$7)/(Config!$B$8-Config!$B$7)</f>
        <v/>
      </c>
      <c r="AH106" s="9">
        <f>(MIN(AC106/Config!$B$9,1)+MIN(AF106/Config!$B$10,1))/2</f>
        <v/>
      </c>
      <c r="AI106" s="12">
        <f>ROUND((AG106*AH106*G106)^(1/3),3)</f>
        <v/>
      </c>
      <c r="AJ106" s="12" t="n">
        <v>0.637</v>
      </c>
      <c r="AK106" s="13">
        <f>AI106-AJ106</f>
        <v/>
      </c>
      <c r="AL106" s="13">
        <f>AK106-AVERAGE($AK$2:$AK$173)</f>
        <v/>
      </c>
      <c r="AM106" s="6">
        <f>IF(ABS(AL106)&gt;Config!$B$11,"REVIEW","")</f>
        <v/>
      </c>
      <c r="AN106" s="14">
        <f>RANK(AI106,$AI$2:$AI$173)</f>
        <v/>
      </c>
      <c r="AO106" s="14">
        <f>RANK(AJ106,$AJ$2:$AJ$173)</f>
        <v/>
      </c>
      <c r="AP106" s="14" t="n">
        <v>106</v>
      </c>
    </row>
    <row r="107">
      <c r="A107" s="6" t="inlineStr">
        <is>
          <t>Pelugrotoa</t>
        </is>
      </c>
      <c r="B107" s="6" t="inlineStr">
        <is>
          <t>Mahea</t>
        </is>
      </c>
      <c r="C107" s="6" t="inlineStr">
        <is>
          <t>petro, resource, tradehub, university</t>
        </is>
      </c>
      <c r="D107" s="7" t="n">
        <v>94889</v>
      </c>
      <c r="E107" s="8">
        <f>D107*Config!$B$4</f>
        <v/>
      </c>
      <c r="F107" s="6">
        <f>LN(MAX(60,E107))</f>
        <v/>
      </c>
      <c r="G107" s="9">
        <f>MEDIAN(0,(F107-LN(Config!$B$5))/(LN(Config!$B$6)-LN(Config!$B$5)),1)</f>
        <v/>
      </c>
      <c r="H107" s="6">
        <f>MOD((Config!$B$2+$AP107*7919)*9301+49297,233280)/233280</f>
        <v/>
      </c>
      <c r="I107" s="6">
        <f>MOD((Config!$B$2+$AP107*104729)*4096+150889,714025)/714025</f>
        <v/>
      </c>
      <c r="J107" s="6">
        <f>MOD((Config!$B$2*31+$AP107*15485863)*1366+150889,714025)/714025</f>
        <v/>
      </c>
      <c r="K107" s="6" t="n"/>
      <c r="L107" s="6" t="n"/>
      <c r="M107" s="6">
        <f>COUNTIF(Siblings!$A$2:$A$84,B107)</f>
        <v/>
      </c>
      <c r="N107" s="6">
        <f>1+INT(J107*M107)</f>
        <v/>
      </c>
      <c r="O107" s="6">
        <f>IF(K107&lt;&gt;"",K107,IFERROR(INDEX(Siblings!$D$2:$D$84,MATCH(B107&amp;"|"&amp;N107,Siblings!$F$2:$F$84,0)),0))</f>
        <v/>
      </c>
      <c r="P107" s="6">
        <f>IF(L107&lt;&gt;"",L107,IFERROR(INDEX(Siblings!$E$2:$E$84,MATCH(B107&amp;"|"&amp;N107,Siblings!$F$2:$F$84,0)),0))</f>
        <v/>
      </c>
      <c r="Q107" s="6">
        <f>(INDEX('Earth curves'!$B$2:$B$46,MAX(1,MIN(44,IFERROR(MATCH(F107,'Earth curves'!$A$2:$A$46,1),1))))+(F107-INDEX('Earth curves'!$A$2:$A$46,MAX(1,MIN(44,IFERROR(MATCH(F107,'Earth curves'!$A$2:$A$46,1),1)))))*(INDEX('Earth curves'!$B$2:$B$46,MAX(1,MIN(44,IFERROR(MATCH(F107,'Earth curves'!$A$2:$A$46,1),1)))+1)-INDEX('Earth curves'!$B$2:$B$46,MAX(1,MIN(44,IFERROR(MATCH(F107,'Earth curves'!$A$2:$A$46,1),1)))))/(INDEX('Earth curves'!$A$2:$A$46,MAX(1,MIN(44,IFERROR(MATCH(F107,'Earth curves'!$A$2:$A$46,1),1)))+1)-INDEX('Earth curves'!$A$2:$A$46,MAX(1,MIN(44,IFERROR(MATCH(F107,'Earth curves'!$A$2:$A$46,1),1))))))</f>
        <v/>
      </c>
      <c r="R107" s="6">
        <f>(INDEX('Earth curves'!$C$2:$C$46,MAX(1,MIN(44,IFERROR(MATCH(F107,'Earth curves'!$A$2:$A$46,1),1))))+(F107-INDEX('Earth curves'!$A$2:$A$46,MAX(1,MIN(44,IFERROR(MATCH(F107,'Earth curves'!$A$2:$A$46,1),1)))))*(INDEX('Earth curves'!$C$2:$C$46,MAX(1,MIN(44,IFERROR(MATCH(F107,'Earth curves'!$A$2:$A$46,1),1)))+1)-INDEX('Earth curves'!$C$2:$C$46,MAX(1,MIN(44,IFERROR(MATCH(F107,'Earth curves'!$A$2:$A$46,1),1)))))/(INDEX('Earth curves'!$A$2:$A$46,MAX(1,MIN(44,IFERROR(MATCH(F107,'Earth curves'!$A$2:$A$46,1),1)))+1)-INDEX('Earth curves'!$A$2:$A$46,MAX(1,MIN(44,IFERROR(MATCH(F107,'Earth curves'!$A$2:$A$46,1),1))))))</f>
        <v/>
      </c>
      <c r="S107" s="6">
        <f>MEDIAN(0.307692,Q107+MEDIAN(-0.350583,O107+NORMSINV(H107)*0.064828*Config!$B$3,0.120277),0.993846)</f>
        <v/>
      </c>
      <c r="T107" s="10">
        <f>ROUND(Config!$B$7+(Config!$B$8-Config!$B$7)*S107,1)</f>
        <v/>
      </c>
      <c r="U107" s="11" t="n"/>
      <c r="V107" s="10">
        <f>IF(U107="",T107,U107)</f>
        <v/>
      </c>
      <c r="W107" s="6">
        <f>MEDIAN(0.05,R107+MEDIAN(-0.302219,P107+NORMSINV(I107)*0.089531*Config!$B$3,0.274961),0.999)</f>
        <v/>
      </c>
      <c r="X107" s="6">
        <f>(INDEX('Earth curves'!$F$2:$F$46,MAX(1,MIN(44,IFERROR(MATCH(W107,'Earth curves'!$E$2:$E$46,1),1))))+(W107-INDEX('Earth curves'!$E$2:$E$46,MAX(1,MIN(44,IFERROR(MATCH(W107,'Earth curves'!$E$2:$E$46,1),1)))))*(INDEX('Earth curves'!$F$2:$F$46,MAX(1,MIN(44,IFERROR(MATCH(W107,'Earth curves'!$E$2:$E$46,1),1)))+1)-INDEX('Earth curves'!$F$2:$F$46,MAX(1,MIN(44,IFERROR(MATCH(W107,'Earth curves'!$E$2:$E$46,1),1)))))/(INDEX('Earth curves'!$E$2:$E$46,MAX(1,MIN(44,IFERROR(MATCH(W107,'Earth curves'!$E$2:$E$46,1),1)))+1)-INDEX('Earth curves'!$E$2:$E$46,MAX(1,MIN(44,IFERROR(MATCH(W107,'Earth curves'!$E$2:$E$46,1),1))))))</f>
        <v/>
      </c>
      <c r="Y107" s="6">
        <f>(INDEX('Earth curves'!$G$2:$G$46,MAX(1,MIN(44,IFERROR(MATCH(W107,'Earth curves'!$E$2:$E$46,1),1))))+(W107-INDEX('Earth curves'!$E$2:$E$46,MAX(1,MIN(44,IFERROR(MATCH(W107,'Earth curves'!$E$2:$E$46,1),1)))))*(INDEX('Earth curves'!$G$2:$G$46,MAX(1,MIN(44,IFERROR(MATCH(W107,'Earth curves'!$E$2:$E$46,1),1)))+1)-INDEX('Earth curves'!$G$2:$G$46,MAX(1,MIN(44,IFERROR(MATCH(W107,'Earth curves'!$E$2:$E$46,1),1)))))/(INDEX('Earth curves'!$E$2:$E$46,MAX(1,MIN(44,IFERROR(MATCH(W107,'Earth curves'!$E$2:$E$46,1),1)))+1)-INDEX('Earth curves'!$E$2:$E$46,MAX(1,MIN(44,IFERROR(MATCH(W107,'Earth curves'!$E$2:$E$46,1),1))))))</f>
        <v/>
      </c>
      <c r="Z107" s="6">
        <f>(MIN(X107/Config!$B$9,1)+MIN(Y107/Config!$B$10,1))/2</f>
        <v/>
      </c>
      <c r="AA107" s="10">
        <f>ROUND(MIN(22,MAX(3,X107*W107/Z107)),1)</f>
        <v/>
      </c>
      <c r="AB107" s="11" t="n"/>
      <c r="AC107" s="10">
        <f>IF(AB107="",AA107,AB107)</f>
        <v/>
      </c>
      <c r="AD107" s="10">
        <f>ROUND(MIN(Config!$B$10,MAX(1,Y107*W107/Z107)),1)</f>
        <v/>
      </c>
      <c r="AE107" s="11" t="n"/>
      <c r="AF107" s="10">
        <f>IF(AE107="",AD107,AE107)</f>
        <v/>
      </c>
      <c r="AG107" s="9">
        <f>(V107-Config!$B$7)/(Config!$B$8-Config!$B$7)</f>
        <v/>
      </c>
      <c r="AH107" s="9">
        <f>(MIN(AC107/Config!$B$9,1)+MIN(AF107/Config!$B$10,1))/2</f>
        <v/>
      </c>
      <c r="AI107" s="12">
        <f>ROUND((AG107*AH107*G107)^(1/3),3)</f>
        <v/>
      </c>
      <c r="AJ107" s="12" t="n">
        <v>0.839</v>
      </c>
      <c r="AK107" s="13">
        <f>AI107-AJ107</f>
        <v/>
      </c>
      <c r="AL107" s="13">
        <f>AK107-AVERAGE($AK$2:$AK$173)</f>
        <v/>
      </c>
      <c r="AM107" s="6">
        <f>IF(ABS(AL107)&gt;Config!$B$11,"REVIEW","")</f>
        <v/>
      </c>
      <c r="AN107" s="14">
        <f>RANK(AI107,$AI$2:$AI$173)</f>
        <v/>
      </c>
      <c r="AO107" s="14">
        <f>RANK(AJ107,$AJ$2:$AJ$173)</f>
        <v/>
      </c>
      <c r="AP107" s="14" t="n">
        <v>107</v>
      </c>
    </row>
    <row r="108">
      <c r="A108" s="6" t="inlineStr">
        <is>
          <t>Pha Hii</t>
        </is>
      </c>
      <c r="B108" s="6" t="inlineStr">
        <is>
          <t>Massir</t>
        </is>
      </c>
      <c r="C108" s="6" t="inlineStr">
        <is>
          <t>university</t>
        </is>
      </c>
      <c r="D108" s="7" t="n">
        <v>323810</v>
      </c>
      <c r="E108" s="8">
        <f>D108*Config!$B$4</f>
        <v/>
      </c>
      <c r="F108" s="6">
        <f>LN(MAX(60,E108))</f>
        <v/>
      </c>
      <c r="G108" s="9">
        <f>MEDIAN(0,(F108-LN(Config!$B$5))/(LN(Config!$B$6)-LN(Config!$B$5)),1)</f>
        <v/>
      </c>
      <c r="H108" s="6">
        <f>MOD((Config!$B$2+$AP108*7919)*9301+49297,233280)/233280</f>
        <v/>
      </c>
      <c r="I108" s="6">
        <f>MOD((Config!$B$2+$AP108*104729)*4096+150889,714025)/714025</f>
        <v/>
      </c>
      <c r="J108" s="6">
        <f>MOD((Config!$B$2*31+$AP108*15485863)*1366+150889,714025)/714025</f>
        <v/>
      </c>
      <c r="K108" s="6" t="n">
        <v>0.042719</v>
      </c>
      <c r="L108" s="6" t="n">
        <v>0.021169</v>
      </c>
      <c r="M108" s="6">
        <f>COUNTIF(Siblings!$A$2:$A$84,B108)</f>
        <v/>
      </c>
      <c r="N108" s="6">
        <f>1+INT(J108*M108)</f>
        <v/>
      </c>
      <c r="O108" s="6">
        <f>IF(K108&lt;&gt;"",K108,IFERROR(INDEX(Siblings!$D$2:$D$84,MATCH(B108&amp;"|"&amp;N108,Siblings!$F$2:$F$84,0)),0))</f>
        <v/>
      </c>
      <c r="P108" s="6">
        <f>IF(L108&lt;&gt;"",L108,IFERROR(INDEX(Siblings!$E$2:$E$84,MATCH(B108&amp;"|"&amp;N108,Siblings!$F$2:$F$84,0)),0))</f>
        <v/>
      </c>
      <c r="Q108" s="6">
        <f>(INDEX('Earth curves'!$B$2:$B$46,MAX(1,MIN(44,IFERROR(MATCH(F108,'Earth curves'!$A$2:$A$46,1),1))))+(F108-INDEX('Earth curves'!$A$2:$A$46,MAX(1,MIN(44,IFERROR(MATCH(F108,'Earth curves'!$A$2:$A$46,1),1)))))*(INDEX('Earth curves'!$B$2:$B$46,MAX(1,MIN(44,IFERROR(MATCH(F108,'Earth curves'!$A$2:$A$46,1),1)))+1)-INDEX('Earth curves'!$B$2:$B$46,MAX(1,MIN(44,IFERROR(MATCH(F108,'Earth curves'!$A$2:$A$46,1),1)))))/(INDEX('Earth curves'!$A$2:$A$46,MAX(1,MIN(44,IFERROR(MATCH(F108,'Earth curves'!$A$2:$A$46,1),1)))+1)-INDEX('Earth curves'!$A$2:$A$46,MAX(1,MIN(44,IFERROR(MATCH(F108,'Earth curves'!$A$2:$A$46,1),1))))))</f>
        <v/>
      </c>
      <c r="R108" s="6">
        <f>(INDEX('Earth curves'!$C$2:$C$46,MAX(1,MIN(44,IFERROR(MATCH(F108,'Earth curves'!$A$2:$A$46,1),1))))+(F108-INDEX('Earth curves'!$A$2:$A$46,MAX(1,MIN(44,IFERROR(MATCH(F108,'Earth curves'!$A$2:$A$46,1),1)))))*(INDEX('Earth curves'!$C$2:$C$46,MAX(1,MIN(44,IFERROR(MATCH(F108,'Earth curves'!$A$2:$A$46,1),1)))+1)-INDEX('Earth curves'!$C$2:$C$46,MAX(1,MIN(44,IFERROR(MATCH(F108,'Earth curves'!$A$2:$A$46,1),1)))))/(INDEX('Earth curves'!$A$2:$A$46,MAX(1,MIN(44,IFERROR(MATCH(F108,'Earth curves'!$A$2:$A$46,1),1)))+1)-INDEX('Earth curves'!$A$2:$A$46,MAX(1,MIN(44,IFERROR(MATCH(F108,'Earth curves'!$A$2:$A$46,1),1))))))</f>
        <v/>
      </c>
      <c r="S108" s="6">
        <f>MEDIAN(0.307692,Q108+MEDIAN(-0.350583,O108+NORMSINV(H108)*0.064828*Config!$B$3,0.120277),0.993846)</f>
        <v/>
      </c>
      <c r="T108" s="10">
        <f>ROUND(Config!$B$7+(Config!$B$8-Config!$B$7)*S108,1)</f>
        <v/>
      </c>
      <c r="U108" s="11" t="n"/>
      <c r="V108" s="10">
        <f>IF(U108="",T108,U108)</f>
        <v/>
      </c>
      <c r="W108" s="6">
        <f>MEDIAN(0.05,R108+MEDIAN(-0.302219,P108+NORMSINV(I108)*0.089531*Config!$B$3,0.274961),0.999)</f>
        <v/>
      </c>
      <c r="X108" s="6">
        <f>(INDEX('Earth curves'!$F$2:$F$46,MAX(1,MIN(44,IFERROR(MATCH(W108,'Earth curves'!$E$2:$E$46,1),1))))+(W108-INDEX('Earth curves'!$E$2:$E$46,MAX(1,MIN(44,IFERROR(MATCH(W108,'Earth curves'!$E$2:$E$46,1),1)))))*(INDEX('Earth curves'!$F$2:$F$46,MAX(1,MIN(44,IFERROR(MATCH(W108,'Earth curves'!$E$2:$E$46,1),1)))+1)-INDEX('Earth curves'!$F$2:$F$46,MAX(1,MIN(44,IFERROR(MATCH(W108,'Earth curves'!$E$2:$E$46,1),1)))))/(INDEX('Earth curves'!$E$2:$E$46,MAX(1,MIN(44,IFERROR(MATCH(W108,'Earth curves'!$E$2:$E$46,1),1)))+1)-INDEX('Earth curves'!$E$2:$E$46,MAX(1,MIN(44,IFERROR(MATCH(W108,'Earth curves'!$E$2:$E$46,1),1))))))</f>
        <v/>
      </c>
      <c r="Y108" s="6">
        <f>(INDEX('Earth curves'!$G$2:$G$46,MAX(1,MIN(44,IFERROR(MATCH(W108,'Earth curves'!$E$2:$E$46,1),1))))+(W108-INDEX('Earth curves'!$E$2:$E$46,MAX(1,MIN(44,IFERROR(MATCH(W108,'Earth curves'!$E$2:$E$46,1),1)))))*(INDEX('Earth curves'!$G$2:$G$46,MAX(1,MIN(44,IFERROR(MATCH(W108,'Earth curves'!$E$2:$E$46,1),1)))+1)-INDEX('Earth curves'!$G$2:$G$46,MAX(1,MIN(44,IFERROR(MATCH(W108,'Earth curves'!$E$2:$E$46,1),1)))))/(INDEX('Earth curves'!$E$2:$E$46,MAX(1,MIN(44,IFERROR(MATCH(W108,'Earth curves'!$E$2:$E$46,1),1)))+1)-INDEX('Earth curves'!$E$2:$E$46,MAX(1,MIN(44,IFERROR(MATCH(W108,'Earth curves'!$E$2:$E$46,1),1))))))</f>
        <v/>
      </c>
      <c r="Z108" s="6">
        <f>(MIN(X108/Config!$B$9,1)+MIN(Y108/Config!$B$10,1))/2</f>
        <v/>
      </c>
      <c r="AA108" s="10">
        <f>ROUND(MIN(22,MAX(3,X108*W108/Z108)),1)</f>
        <v/>
      </c>
      <c r="AB108" s="11" t="n"/>
      <c r="AC108" s="10">
        <f>IF(AB108="",AA108,AB108)</f>
        <v/>
      </c>
      <c r="AD108" s="10">
        <f>ROUND(MIN(Config!$B$10,MAX(1,Y108*W108/Z108)),1)</f>
        <v/>
      </c>
      <c r="AE108" s="11" t="n"/>
      <c r="AF108" s="10">
        <f>IF(AE108="",AD108,AE108)</f>
        <v/>
      </c>
      <c r="AG108" s="9">
        <f>(V108-Config!$B$7)/(Config!$B$8-Config!$B$7)</f>
        <v/>
      </c>
      <c r="AH108" s="9">
        <f>(MIN(AC108/Config!$B$9,1)+MIN(AF108/Config!$B$10,1))/2</f>
        <v/>
      </c>
      <c r="AI108" s="12">
        <f>ROUND((AG108*AH108*G108)^(1/3),3)</f>
        <v/>
      </c>
      <c r="AJ108" s="12" t="n">
        <v>0.963</v>
      </c>
      <c r="AK108" s="13">
        <f>AI108-AJ108</f>
        <v/>
      </c>
      <c r="AL108" s="13">
        <f>AK108-AVERAGE($AK$2:$AK$173)</f>
        <v/>
      </c>
      <c r="AM108" s="6">
        <f>IF(ABS(AL108)&gt;Config!$B$11,"REVIEW","")</f>
        <v/>
      </c>
      <c r="AN108" s="14">
        <f>RANK(AI108,$AI$2:$AI$173)</f>
        <v/>
      </c>
      <c r="AO108" s="14">
        <f>RANK(AJ108,$AJ$2:$AJ$173)</f>
        <v/>
      </c>
      <c r="AP108" s="14" t="n">
        <v>108</v>
      </c>
    </row>
    <row r="109">
      <c r="A109" s="6" t="inlineStr">
        <is>
          <t>Phuris</t>
        </is>
      </c>
      <c r="B109" s="6" t="inlineStr">
        <is>
          <t>Atirha</t>
        </is>
      </c>
      <c r="C109" s="6" t="inlineStr">
        <is>
          <t>resource</t>
        </is>
      </c>
      <c r="D109" s="7" t="n">
        <v>14921</v>
      </c>
      <c r="E109" s="8">
        <f>D109*Config!$B$4</f>
        <v/>
      </c>
      <c r="F109" s="6">
        <f>LN(MAX(60,E109))</f>
        <v/>
      </c>
      <c r="G109" s="9">
        <f>MEDIAN(0,(F109-LN(Config!$B$5))/(LN(Config!$B$6)-LN(Config!$B$5)),1)</f>
        <v/>
      </c>
      <c r="H109" s="6">
        <f>MOD((Config!$B$2+$AP109*7919)*9301+49297,233280)/233280</f>
        <v/>
      </c>
      <c r="I109" s="6">
        <f>MOD((Config!$B$2+$AP109*104729)*4096+150889,714025)/714025</f>
        <v/>
      </c>
      <c r="J109" s="6">
        <f>MOD((Config!$B$2*31+$AP109*15485863)*1366+150889,714025)/714025</f>
        <v/>
      </c>
      <c r="K109" s="6" t="n">
        <v>0.006312</v>
      </c>
      <c r="L109" s="6" t="n">
        <v>0.022015</v>
      </c>
      <c r="M109" s="6">
        <f>COUNTIF(Siblings!$A$2:$A$84,B109)</f>
        <v/>
      </c>
      <c r="N109" s="6">
        <f>1+INT(J109*M109)</f>
        <v/>
      </c>
      <c r="O109" s="6">
        <f>IF(K109&lt;&gt;"",K109,IFERROR(INDEX(Siblings!$D$2:$D$84,MATCH(B109&amp;"|"&amp;N109,Siblings!$F$2:$F$84,0)),0))</f>
        <v/>
      </c>
      <c r="P109" s="6">
        <f>IF(L109&lt;&gt;"",L109,IFERROR(INDEX(Siblings!$E$2:$E$84,MATCH(B109&amp;"|"&amp;N109,Siblings!$F$2:$F$84,0)),0))</f>
        <v/>
      </c>
      <c r="Q109" s="6">
        <f>(INDEX('Earth curves'!$B$2:$B$46,MAX(1,MIN(44,IFERROR(MATCH(F109,'Earth curves'!$A$2:$A$46,1),1))))+(F109-INDEX('Earth curves'!$A$2:$A$46,MAX(1,MIN(44,IFERROR(MATCH(F109,'Earth curves'!$A$2:$A$46,1),1)))))*(INDEX('Earth curves'!$B$2:$B$46,MAX(1,MIN(44,IFERROR(MATCH(F109,'Earth curves'!$A$2:$A$46,1),1)))+1)-INDEX('Earth curves'!$B$2:$B$46,MAX(1,MIN(44,IFERROR(MATCH(F109,'Earth curves'!$A$2:$A$46,1),1)))))/(INDEX('Earth curves'!$A$2:$A$46,MAX(1,MIN(44,IFERROR(MATCH(F109,'Earth curves'!$A$2:$A$46,1),1)))+1)-INDEX('Earth curves'!$A$2:$A$46,MAX(1,MIN(44,IFERROR(MATCH(F109,'Earth curves'!$A$2:$A$46,1),1))))))</f>
        <v/>
      </c>
      <c r="R109" s="6">
        <f>(INDEX('Earth curves'!$C$2:$C$46,MAX(1,MIN(44,IFERROR(MATCH(F109,'Earth curves'!$A$2:$A$46,1),1))))+(F109-INDEX('Earth curves'!$A$2:$A$46,MAX(1,MIN(44,IFERROR(MATCH(F109,'Earth curves'!$A$2:$A$46,1),1)))))*(INDEX('Earth curves'!$C$2:$C$46,MAX(1,MIN(44,IFERROR(MATCH(F109,'Earth curves'!$A$2:$A$46,1),1)))+1)-INDEX('Earth curves'!$C$2:$C$46,MAX(1,MIN(44,IFERROR(MATCH(F109,'Earth curves'!$A$2:$A$46,1),1)))))/(INDEX('Earth curves'!$A$2:$A$46,MAX(1,MIN(44,IFERROR(MATCH(F109,'Earth curves'!$A$2:$A$46,1),1)))+1)-INDEX('Earth curves'!$A$2:$A$46,MAX(1,MIN(44,IFERROR(MATCH(F109,'Earth curves'!$A$2:$A$46,1),1))))))</f>
        <v/>
      </c>
      <c r="S109" s="6">
        <f>MEDIAN(0.307692,Q109+MEDIAN(-0.350583,O109+NORMSINV(H109)*0.064828*Config!$B$3,0.120277),0.993846)</f>
        <v/>
      </c>
      <c r="T109" s="10">
        <f>ROUND(Config!$B$7+(Config!$B$8-Config!$B$7)*S109,1)</f>
        <v/>
      </c>
      <c r="U109" s="11" t="n"/>
      <c r="V109" s="10">
        <f>IF(U109="",T109,U109)</f>
        <v/>
      </c>
      <c r="W109" s="6">
        <f>MEDIAN(0.05,R109+MEDIAN(-0.302219,P109+NORMSINV(I109)*0.089531*Config!$B$3,0.274961),0.999)</f>
        <v/>
      </c>
      <c r="X109" s="6">
        <f>(INDEX('Earth curves'!$F$2:$F$46,MAX(1,MIN(44,IFERROR(MATCH(W109,'Earth curves'!$E$2:$E$46,1),1))))+(W109-INDEX('Earth curves'!$E$2:$E$46,MAX(1,MIN(44,IFERROR(MATCH(W109,'Earth curves'!$E$2:$E$46,1),1)))))*(INDEX('Earth curves'!$F$2:$F$46,MAX(1,MIN(44,IFERROR(MATCH(W109,'Earth curves'!$E$2:$E$46,1),1)))+1)-INDEX('Earth curves'!$F$2:$F$46,MAX(1,MIN(44,IFERROR(MATCH(W109,'Earth curves'!$E$2:$E$46,1),1)))))/(INDEX('Earth curves'!$E$2:$E$46,MAX(1,MIN(44,IFERROR(MATCH(W109,'Earth curves'!$E$2:$E$46,1),1)))+1)-INDEX('Earth curves'!$E$2:$E$46,MAX(1,MIN(44,IFERROR(MATCH(W109,'Earth curves'!$E$2:$E$46,1),1))))))</f>
        <v/>
      </c>
      <c r="Y109" s="6">
        <f>(INDEX('Earth curves'!$G$2:$G$46,MAX(1,MIN(44,IFERROR(MATCH(W109,'Earth curves'!$E$2:$E$46,1),1))))+(W109-INDEX('Earth curves'!$E$2:$E$46,MAX(1,MIN(44,IFERROR(MATCH(W109,'Earth curves'!$E$2:$E$46,1),1)))))*(INDEX('Earth curves'!$G$2:$G$46,MAX(1,MIN(44,IFERROR(MATCH(W109,'Earth curves'!$E$2:$E$46,1),1)))+1)-INDEX('Earth curves'!$G$2:$G$46,MAX(1,MIN(44,IFERROR(MATCH(W109,'Earth curves'!$E$2:$E$46,1),1)))))/(INDEX('Earth curves'!$E$2:$E$46,MAX(1,MIN(44,IFERROR(MATCH(W109,'Earth curves'!$E$2:$E$46,1),1)))+1)-INDEX('Earth curves'!$E$2:$E$46,MAX(1,MIN(44,IFERROR(MATCH(W109,'Earth curves'!$E$2:$E$46,1),1))))))</f>
        <v/>
      </c>
      <c r="Z109" s="6">
        <f>(MIN(X109/Config!$B$9,1)+MIN(Y109/Config!$B$10,1))/2</f>
        <v/>
      </c>
      <c r="AA109" s="10">
        <f>ROUND(MIN(22,MAX(3,X109*W109/Z109)),1)</f>
        <v/>
      </c>
      <c r="AB109" s="11" t="n"/>
      <c r="AC109" s="10">
        <f>IF(AB109="",AA109,AB109)</f>
        <v/>
      </c>
      <c r="AD109" s="10">
        <f>ROUND(MIN(Config!$B$10,MAX(1,Y109*W109/Z109)),1)</f>
        <v/>
      </c>
      <c r="AE109" s="11" t="n"/>
      <c r="AF109" s="10">
        <f>IF(AE109="",AD109,AE109)</f>
        <v/>
      </c>
      <c r="AG109" s="9">
        <f>(V109-Config!$B$7)/(Config!$B$8-Config!$B$7)</f>
        <v/>
      </c>
      <c r="AH109" s="9">
        <f>(MIN(AC109/Config!$B$9,1)+MIN(AF109/Config!$B$10,1))/2</f>
        <v/>
      </c>
      <c r="AI109" s="12">
        <f>ROUND((AG109*AH109*G109)^(1/3),3)</f>
        <v/>
      </c>
      <c r="AJ109" s="12" t="n">
        <v>0.736</v>
      </c>
      <c r="AK109" s="13">
        <f>AI109-AJ109</f>
        <v/>
      </c>
      <c r="AL109" s="13">
        <f>AK109-AVERAGE($AK$2:$AK$173)</f>
        <v/>
      </c>
      <c r="AM109" s="6">
        <f>IF(ABS(AL109)&gt;Config!$B$11,"REVIEW","")</f>
        <v/>
      </c>
      <c r="AN109" s="14">
        <f>RANK(AI109,$AI$2:$AI$173)</f>
        <v/>
      </c>
      <c r="AO109" s="14">
        <f>RANK(AJ109,$AJ$2:$AJ$173)</f>
        <v/>
      </c>
      <c r="AP109" s="14" t="n">
        <v>109</v>
      </c>
    </row>
    <row r="110">
      <c r="A110" s="6" t="inlineStr">
        <is>
          <t>Praesyu</t>
        </is>
      </c>
      <c r="B110" s="6" t="inlineStr">
        <is>
          <t>Ayuma</t>
        </is>
      </c>
      <c r="C110" s="6" t="inlineStr">
        <is>
          <t>resource</t>
        </is>
      </c>
      <c r="D110" s="7" t="n">
        <v>113333</v>
      </c>
      <c r="E110" s="8">
        <f>D110*Config!$B$4</f>
        <v/>
      </c>
      <c r="F110" s="6">
        <f>LN(MAX(60,E110))</f>
        <v/>
      </c>
      <c r="G110" s="9">
        <f>MEDIAN(0,(F110-LN(Config!$B$5))/(LN(Config!$B$6)-LN(Config!$B$5)),1)</f>
        <v/>
      </c>
      <c r="H110" s="6">
        <f>MOD((Config!$B$2+$AP110*7919)*9301+49297,233280)/233280</f>
        <v/>
      </c>
      <c r="I110" s="6">
        <f>MOD((Config!$B$2+$AP110*104729)*4096+150889,714025)/714025</f>
        <v/>
      </c>
      <c r="J110" s="6">
        <f>MOD((Config!$B$2*31+$AP110*15485863)*1366+150889,714025)/714025</f>
        <v/>
      </c>
      <c r="K110" s="6" t="n"/>
      <c r="L110" s="6" t="n"/>
      <c r="M110" s="6">
        <f>COUNTIF(Siblings!$A$2:$A$84,B110)</f>
        <v/>
      </c>
      <c r="N110" s="6">
        <f>1+INT(J110*M110)</f>
        <v/>
      </c>
      <c r="O110" s="6">
        <f>IF(K110&lt;&gt;"",K110,IFERROR(INDEX(Siblings!$D$2:$D$84,MATCH(B110&amp;"|"&amp;N110,Siblings!$F$2:$F$84,0)),0))</f>
        <v/>
      </c>
      <c r="P110" s="6">
        <f>IF(L110&lt;&gt;"",L110,IFERROR(INDEX(Siblings!$E$2:$E$84,MATCH(B110&amp;"|"&amp;N110,Siblings!$F$2:$F$84,0)),0))</f>
        <v/>
      </c>
      <c r="Q110" s="6">
        <f>(INDEX('Earth curves'!$B$2:$B$46,MAX(1,MIN(44,IFERROR(MATCH(F110,'Earth curves'!$A$2:$A$46,1),1))))+(F110-INDEX('Earth curves'!$A$2:$A$46,MAX(1,MIN(44,IFERROR(MATCH(F110,'Earth curves'!$A$2:$A$46,1),1)))))*(INDEX('Earth curves'!$B$2:$B$46,MAX(1,MIN(44,IFERROR(MATCH(F110,'Earth curves'!$A$2:$A$46,1),1)))+1)-INDEX('Earth curves'!$B$2:$B$46,MAX(1,MIN(44,IFERROR(MATCH(F110,'Earth curves'!$A$2:$A$46,1),1)))))/(INDEX('Earth curves'!$A$2:$A$46,MAX(1,MIN(44,IFERROR(MATCH(F110,'Earth curves'!$A$2:$A$46,1),1)))+1)-INDEX('Earth curves'!$A$2:$A$46,MAX(1,MIN(44,IFERROR(MATCH(F110,'Earth curves'!$A$2:$A$46,1),1))))))</f>
        <v/>
      </c>
      <c r="R110" s="6">
        <f>(INDEX('Earth curves'!$C$2:$C$46,MAX(1,MIN(44,IFERROR(MATCH(F110,'Earth curves'!$A$2:$A$46,1),1))))+(F110-INDEX('Earth curves'!$A$2:$A$46,MAX(1,MIN(44,IFERROR(MATCH(F110,'Earth curves'!$A$2:$A$46,1),1)))))*(INDEX('Earth curves'!$C$2:$C$46,MAX(1,MIN(44,IFERROR(MATCH(F110,'Earth curves'!$A$2:$A$46,1),1)))+1)-INDEX('Earth curves'!$C$2:$C$46,MAX(1,MIN(44,IFERROR(MATCH(F110,'Earth curves'!$A$2:$A$46,1),1)))))/(INDEX('Earth curves'!$A$2:$A$46,MAX(1,MIN(44,IFERROR(MATCH(F110,'Earth curves'!$A$2:$A$46,1),1)))+1)-INDEX('Earth curves'!$A$2:$A$46,MAX(1,MIN(44,IFERROR(MATCH(F110,'Earth curves'!$A$2:$A$46,1),1))))))</f>
        <v/>
      </c>
      <c r="S110" s="6">
        <f>MEDIAN(0.307692,Q110+MEDIAN(-0.350583,O110+NORMSINV(H110)*0.064828*Config!$B$3,0.120277),0.993846)</f>
        <v/>
      </c>
      <c r="T110" s="10">
        <f>ROUND(Config!$B$7+(Config!$B$8-Config!$B$7)*S110,1)</f>
        <v/>
      </c>
      <c r="U110" s="11" t="n"/>
      <c r="V110" s="10">
        <f>IF(U110="",T110,U110)</f>
        <v/>
      </c>
      <c r="W110" s="6">
        <f>MEDIAN(0.05,R110+MEDIAN(-0.302219,P110+NORMSINV(I110)*0.089531*Config!$B$3,0.274961),0.999)</f>
        <v/>
      </c>
      <c r="X110" s="6">
        <f>(INDEX('Earth curves'!$F$2:$F$46,MAX(1,MIN(44,IFERROR(MATCH(W110,'Earth curves'!$E$2:$E$46,1),1))))+(W110-INDEX('Earth curves'!$E$2:$E$46,MAX(1,MIN(44,IFERROR(MATCH(W110,'Earth curves'!$E$2:$E$46,1),1)))))*(INDEX('Earth curves'!$F$2:$F$46,MAX(1,MIN(44,IFERROR(MATCH(W110,'Earth curves'!$E$2:$E$46,1),1)))+1)-INDEX('Earth curves'!$F$2:$F$46,MAX(1,MIN(44,IFERROR(MATCH(W110,'Earth curves'!$E$2:$E$46,1),1)))))/(INDEX('Earth curves'!$E$2:$E$46,MAX(1,MIN(44,IFERROR(MATCH(W110,'Earth curves'!$E$2:$E$46,1),1)))+1)-INDEX('Earth curves'!$E$2:$E$46,MAX(1,MIN(44,IFERROR(MATCH(W110,'Earth curves'!$E$2:$E$46,1),1))))))</f>
        <v/>
      </c>
      <c r="Y110" s="6">
        <f>(INDEX('Earth curves'!$G$2:$G$46,MAX(1,MIN(44,IFERROR(MATCH(W110,'Earth curves'!$E$2:$E$46,1),1))))+(W110-INDEX('Earth curves'!$E$2:$E$46,MAX(1,MIN(44,IFERROR(MATCH(W110,'Earth curves'!$E$2:$E$46,1),1)))))*(INDEX('Earth curves'!$G$2:$G$46,MAX(1,MIN(44,IFERROR(MATCH(W110,'Earth curves'!$E$2:$E$46,1),1)))+1)-INDEX('Earth curves'!$G$2:$G$46,MAX(1,MIN(44,IFERROR(MATCH(W110,'Earth curves'!$E$2:$E$46,1),1)))))/(INDEX('Earth curves'!$E$2:$E$46,MAX(1,MIN(44,IFERROR(MATCH(W110,'Earth curves'!$E$2:$E$46,1),1)))+1)-INDEX('Earth curves'!$E$2:$E$46,MAX(1,MIN(44,IFERROR(MATCH(W110,'Earth curves'!$E$2:$E$46,1),1))))))</f>
        <v/>
      </c>
      <c r="Z110" s="6">
        <f>(MIN(X110/Config!$B$9,1)+MIN(Y110/Config!$B$10,1))/2</f>
        <v/>
      </c>
      <c r="AA110" s="10">
        <f>ROUND(MIN(22,MAX(3,X110*W110/Z110)),1)</f>
        <v/>
      </c>
      <c r="AB110" s="11" t="n"/>
      <c r="AC110" s="10">
        <f>IF(AB110="",AA110,AB110)</f>
        <v/>
      </c>
      <c r="AD110" s="10">
        <f>ROUND(MIN(Config!$B$10,MAX(1,Y110*W110/Z110)),1)</f>
        <v/>
      </c>
      <c r="AE110" s="11" t="n"/>
      <c r="AF110" s="10">
        <f>IF(AE110="",AD110,AE110)</f>
        <v/>
      </c>
      <c r="AG110" s="9">
        <f>(V110-Config!$B$7)/(Config!$B$8-Config!$B$7)</f>
        <v/>
      </c>
      <c r="AH110" s="9">
        <f>(MIN(AC110/Config!$B$9,1)+MIN(AF110/Config!$B$10,1))/2</f>
        <v/>
      </c>
      <c r="AI110" s="12">
        <f>ROUND((AG110*AH110*G110)^(1/3),3)</f>
        <v/>
      </c>
      <c r="AJ110" s="12" t="n">
        <v>0.911</v>
      </c>
      <c r="AK110" s="13">
        <f>AI110-AJ110</f>
        <v/>
      </c>
      <c r="AL110" s="13">
        <f>AK110-AVERAGE($AK$2:$AK$173)</f>
        <v/>
      </c>
      <c r="AM110" s="6">
        <f>IF(ABS(AL110)&gt;Config!$B$11,"REVIEW","")</f>
        <v/>
      </c>
      <c r="AN110" s="14">
        <f>RANK(AI110,$AI$2:$AI$173)</f>
        <v/>
      </c>
      <c r="AO110" s="14">
        <f>RANK(AJ110,$AJ$2:$AJ$173)</f>
        <v/>
      </c>
      <c r="AP110" s="14" t="n">
        <v>110</v>
      </c>
    </row>
    <row r="111">
      <c r="A111" s="6" t="inlineStr">
        <is>
          <t>Prstreula</t>
        </is>
      </c>
      <c r="B111" s="6" t="inlineStr">
        <is>
          <t>New Ayre</t>
        </is>
      </c>
      <c r="C111" s="6" t="inlineStr">
        <is>
          <t>resource</t>
        </is>
      </c>
      <c r="D111" s="7" t="n">
        <v>57778</v>
      </c>
      <c r="E111" s="8">
        <f>D111*Config!$B$4</f>
        <v/>
      </c>
      <c r="F111" s="6">
        <f>LN(MAX(60,E111))</f>
        <v/>
      </c>
      <c r="G111" s="9">
        <f>MEDIAN(0,(F111-LN(Config!$B$5))/(LN(Config!$B$6)-LN(Config!$B$5)),1)</f>
        <v/>
      </c>
      <c r="H111" s="6">
        <f>MOD((Config!$B$2+$AP111*7919)*9301+49297,233280)/233280</f>
        <v/>
      </c>
      <c r="I111" s="6">
        <f>MOD((Config!$B$2+$AP111*104729)*4096+150889,714025)/714025</f>
        <v/>
      </c>
      <c r="J111" s="6">
        <f>MOD((Config!$B$2*31+$AP111*15485863)*1366+150889,714025)/714025</f>
        <v/>
      </c>
      <c r="K111" s="6" t="n">
        <v>0.060531</v>
      </c>
      <c r="L111" s="6" t="n">
        <v>0.031221</v>
      </c>
      <c r="M111" s="6">
        <f>COUNTIF(Siblings!$A$2:$A$84,B111)</f>
        <v/>
      </c>
      <c r="N111" s="6">
        <f>1+INT(J111*M111)</f>
        <v/>
      </c>
      <c r="O111" s="6">
        <f>IF(K111&lt;&gt;"",K111,IFERROR(INDEX(Siblings!$D$2:$D$84,MATCH(B111&amp;"|"&amp;N111,Siblings!$F$2:$F$84,0)),0))</f>
        <v/>
      </c>
      <c r="P111" s="6">
        <f>IF(L111&lt;&gt;"",L111,IFERROR(INDEX(Siblings!$E$2:$E$84,MATCH(B111&amp;"|"&amp;N111,Siblings!$F$2:$F$84,0)),0))</f>
        <v/>
      </c>
      <c r="Q111" s="6">
        <f>(INDEX('Earth curves'!$B$2:$B$46,MAX(1,MIN(44,IFERROR(MATCH(F111,'Earth curves'!$A$2:$A$46,1),1))))+(F111-INDEX('Earth curves'!$A$2:$A$46,MAX(1,MIN(44,IFERROR(MATCH(F111,'Earth curves'!$A$2:$A$46,1),1)))))*(INDEX('Earth curves'!$B$2:$B$46,MAX(1,MIN(44,IFERROR(MATCH(F111,'Earth curves'!$A$2:$A$46,1),1)))+1)-INDEX('Earth curves'!$B$2:$B$46,MAX(1,MIN(44,IFERROR(MATCH(F111,'Earth curves'!$A$2:$A$46,1),1)))))/(INDEX('Earth curves'!$A$2:$A$46,MAX(1,MIN(44,IFERROR(MATCH(F111,'Earth curves'!$A$2:$A$46,1),1)))+1)-INDEX('Earth curves'!$A$2:$A$46,MAX(1,MIN(44,IFERROR(MATCH(F111,'Earth curves'!$A$2:$A$46,1),1))))))</f>
        <v/>
      </c>
      <c r="R111" s="6">
        <f>(INDEX('Earth curves'!$C$2:$C$46,MAX(1,MIN(44,IFERROR(MATCH(F111,'Earth curves'!$A$2:$A$46,1),1))))+(F111-INDEX('Earth curves'!$A$2:$A$46,MAX(1,MIN(44,IFERROR(MATCH(F111,'Earth curves'!$A$2:$A$46,1),1)))))*(INDEX('Earth curves'!$C$2:$C$46,MAX(1,MIN(44,IFERROR(MATCH(F111,'Earth curves'!$A$2:$A$46,1),1)))+1)-INDEX('Earth curves'!$C$2:$C$46,MAX(1,MIN(44,IFERROR(MATCH(F111,'Earth curves'!$A$2:$A$46,1),1)))))/(INDEX('Earth curves'!$A$2:$A$46,MAX(1,MIN(44,IFERROR(MATCH(F111,'Earth curves'!$A$2:$A$46,1),1)))+1)-INDEX('Earth curves'!$A$2:$A$46,MAX(1,MIN(44,IFERROR(MATCH(F111,'Earth curves'!$A$2:$A$46,1),1))))))</f>
        <v/>
      </c>
      <c r="S111" s="6">
        <f>MEDIAN(0.307692,Q111+MEDIAN(-0.350583,O111+NORMSINV(H111)*0.064828*Config!$B$3,0.120277),0.993846)</f>
        <v/>
      </c>
      <c r="T111" s="10">
        <f>ROUND(Config!$B$7+(Config!$B$8-Config!$B$7)*S111,1)</f>
        <v/>
      </c>
      <c r="U111" s="11" t="n"/>
      <c r="V111" s="10">
        <f>IF(U111="",T111,U111)</f>
        <v/>
      </c>
      <c r="W111" s="6">
        <f>MEDIAN(0.05,R111+MEDIAN(-0.302219,P111+NORMSINV(I111)*0.089531*Config!$B$3,0.274961),0.999)</f>
        <v/>
      </c>
      <c r="X111" s="6">
        <f>(INDEX('Earth curves'!$F$2:$F$46,MAX(1,MIN(44,IFERROR(MATCH(W111,'Earth curves'!$E$2:$E$46,1),1))))+(W111-INDEX('Earth curves'!$E$2:$E$46,MAX(1,MIN(44,IFERROR(MATCH(W111,'Earth curves'!$E$2:$E$46,1),1)))))*(INDEX('Earth curves'!$F$2:$F$46,MAX(1,MIN(44,IFERROR(MATCH(W111,'Earth curves'!$E$2:$E$46,1),1)))+1)-INDEX('Earth curves'!$F$2:$F$46,MAX(1,MIN(44,IFERROR(MATCH(W111,'Earth curves'!$E$2:$E$46,1),1)))))/(INDEX('Earth curves'!$E$2:$E$46,MAX(1,MIN(44,IFERROR(MATCH(W111,'Earth curves'!$E$2:$E$46,1),1)))+1)-INDEX('Earth curves'!$E$2:$E$46,MAX(1,MIN(44,IFERROR(MATCH(W111,'Earth curves'!$E$2:$E$46,1),1))))))</f>
        <v/>
      </c>
      <c r="Y111" s="6">
        <f>(INDEX('Earth curves'!$G$2:$G$46,MAX(1,MIN(44,IFERROR(MATCH(W111,'Earth curves'!$E$2:$E$46,1),1))))+(W111-INDEX('Earth curves'!$E$2:$E$46,MAX(1,MIN(44,IFERROR(MATCH(W111,'Earth curves'!$E$2:$E$46,1),1)))))*(INDEX('Earth curves'!$G$2:$G$46,MAX(1,MIN(44,IFERROR(MATCH(W111,'Earth curves'!$E$2:$E$46,1),1)))+1)-INDEX('Earth curves'!$G$2:$G$46,MAX(1,MIN(44,IFERROR(MATCH(W111,'Earth curves'!$E$2:$E$46,1),1)))))/(INDEX('Earth curves'!$E$2:$E$46,MAX(1,MIN(44,IFERROR(MATCH(W111,'Earth curves'!$E$2:$E$46,1),1)))+1)-INDEX('Earth curves'!$E$2:$E$46,MAX(1,MIN(44,IFERROR(MATCH(W111,'Earth curves'!$E$2:$E$46,1),1))))))</f>
        <v/>
      </c>
      <c r="Z111" s="6">
        <f>(MIN(X111/Config!$B$9,1)+MIN(Y111/Config!$B$10,1))/2</f>
        <v/>
      </c>
      <c r="AA111" s="10">
        <f>ROUND(MIN(22,MAX(3,X111*W111/Z111)),1)</f>
        <v/>
      </c>
      <c r="AB111" s="11" t="n"/>
      <c r="AC111" s="10">
        <f>IF(AB111="",AA111,AB111)</f>
        <v/>
      </c>
      <c r="AD111" s="10">
        <f>ROUND(MIN(Config!$B$10,MAX(1,Y111*W111/Z111)),1)</f>
        <v/>
      </c>
      <c r="AE111" s="11" t="n"/>
      <c r="AF111" s="10">
        <f>IF(AE111="",AD111,AE111)</f>
        <v/>
      </c>
      <c r="AG111" s="9">
        <f>(V111-Config!$B$7)/(Config!$B$8-Config!$B$7)</f>
        <v/>
      </c>
      <c r="AH111" s="9">
        <f>(MIN(AC111/Config!$B$9,1)+MIN(AF111/Config!$B$10,1))/2</f>
        <v/>
      </c>
      <c r="AI111" s="12">
        <f>ROUND((AG111*AH111*G111)^(1/3),3)</f>
        <v/>
      </c>
      <c r="AJ111" s="12" t="n">
        <v>0.8100000000000001</v>
      </c>
      <c r="AK111" s="13">
        <f>AI111-AJ111</f>
        <v/>
      </c>
      <c r="AL111" s="13">
        <f>AK111-AVERAGE($AK$2:$AK$173)</f>
        <v/>
      </c>
      <c r="AM111" s="6">
        <f>IF(ABS(AL111)&gt;Config!$B$11,"REVIEW","")</f>
        <v/>
      </c>
      <c r="AN111" s="14">
        <f>RANK(AI111,$AI$2:$AI$173)</f>
        <v/>
      </c>
      <c r="AO111" s="14">
        <f>RANK(AJ111,$AJ$2:$AJ$173)</f>
        <v/>
      </c>
      <c r="AP111" s="14" t="n">
        <v>111</v>
      </c>
    </row>
    <row r="112">
      <c r="A112" s="6" t="inlineStr">
        <is>
          <t>Pruim Fijan</t>
        </is>
      </c>
      <c r="B112" s="6" t="inlineStr">
        <is>
          <t>Massir</t>
        </is>
      </c>
      <c r="C112" s="6" t="inlineStr">
        <is>
          <t>—</t>
        </is>
      </c>
      <c r="D112" s="7" t="n">
        <v>13619</v>
      </c>
      <c r="E112" s="8">
        <f>D112*Config!$B$4</f>
        <v/>
      </c>
      <c r="F112" s="6">
        <f>LN(MAX(60,E112))</f>
        <v/>
      </c>
      <c r="G112" s="9">
        <f>MEDIAN(0,(F112-LN(Config!$B$5))/(LN(Config!$B$6)-LN(Config!$B$5)),1)</f>
        <v/>
      </c>
      <c r="H112" s="6">
        <f>MOD((Config!$B$2+$AP112*7919)*9301+49297,233280)/233280</f>
        <v/>
      </c>
      <c r="I112" s="6">
        <f>MOD((Config!$B$2+$AP112*104729)*4096+150889,714025)/714025</f>
        <v/>
      </c>
      <c r="J112" s="6">
        <f>MOD((Config!$B$2*31+$AP112*15485863)*1366+150889,714025)/714025</f>
        <v/>
      </c>
      <c r="K112" s="6" t="n"/>
      <c r="L112" s="6" t="n"/>
      <c r="M112" s="6">
        <f>COUNTIF(Siblings!$A$2:$A$84,B112)</f>
        <v/>
      </c>
      <c r="N112" s="6">
        <f>1+INT(J112*M112)</f>
        <v/>
      </c>
      <c r="O112" s="6">
        <f>IF(K112&lt;&gt;"",K112,IFERROR(INDEX(Siblings!$D$2:$D$84,MATCH(B112&amp;"|"&amp;N112,Siblings!$F$2:$F$84,0)),0))</f>
        <v/>
      </c>
      <c r="P112" s="6">
        <f>IF(L112&lt;&gt;"",L112,IFERROR(INDEX(Siblings!$E$2:$E$84,MATCH(B112&amp;"|"&amp;N112,Siblings!$F$2:$F$84,0)),0))</f>
        <v/>
      </c>
      <c r="Q112" s="6">
        <f>(INDEX('Earth curves'!$B$2:$B$46,MAX(1,MIN(44,IFERROR(MATCH(F112,'Earth curves'!$A$2:$A$46,1),1))))+(F112-INDEX('Earth curves'!$A$2:$A$46,MAX(1,MIN(44,IFERROR(MATCH(F112,'Earth curves'!$A$2:$A$46,1),1)))))*(INDEX('Earth curves'!$B$2:$B$46,MAX(1,MIN(44,IFERROR(MATCH(F112,'Earth curves'!$A$2:$A$46,1),1)))+1)-INDEX('Earth curves'!$B$2:$B$46,MAX(1,MIN(44,IFERROR(MATCH(F112,'Earth curves'!$A$2:$A$46,1),1)))))/(INDEX('Earth curves'!$A$2:$A$46,MAX(1,MIN(44,IFERROR(MATCH(F112,'Earth curves'!$A$2:$A$46,1),1)))+1)-INDEX('Earth curves'!$A$2:$A$46,MAX(1,MIN(44,IFERROR(MATCH(F112,'Earth curves'!$A$2:$A$46,1),1))))))</f>
        <v/>
      </c>
      <c r="R112" s="6">
        <f>(INDEX('Earth curves'!$C$2:$C$46,MAX(1,MIN(44,IFERROR(MATCH(F112,'Earth curves'!$A$2:$A$46,1),1))))+(F112-INDEX('Earth curves'!$A$2:$A$46,MAX(1,MIN(44,IFERROR(MATCH(F112,'Earth curves'!$A$2:$A$46,1),1)))))*(INDEX('Earth curves'!$C$2:$C$46,MAX(1,MIN(44,IFERROR(MATCH(F112,'Earth curves'!$A$2:$A$46,1),1)))+1)-INDEX('Earth curves'!$C$2:$C$46,MAX(1,MIN(44,IFERROR(MATCH(F112,'Earth curves'!$A$2:$A$46,1),1)))))/(INDEX('Earth curves'!$A$2:$A$46,MAX(1,MIN(44,IFERROR(MATCH(F112,'Earth curves'!$A$2:$A$46,1),1)))+1)-INDEX('Earth curves'!$A$2:$A$46,MAX(1,MIN(44,IFERROR(MATCH(F112,'Earth curves'!$A$2:$A$46,1),1))))))</f>
        <v/>
      </c>
      <c r="S112" s="6">
        <f>MEDIAN(0.307692,Q112+MEDIAN(-0.350583,O112+NORMSINV(H112)*0.064828*Config!$B$3,0.120277),0.993846)</f>
        <v/>
      </c>
      <c r="T112" s="10">
        <f>ROUND(Config!$B$7+(Config!$B$8-Config!$B$7)*S112,1)</f>
        <v/>
      </c>
      <c r="U112" s="11" t="n"/>
      <c r="V112" s="10">
        <f>IF(U112="",T112,U112)</f>
        <v/>
      </c>
      <c r="W112" s="6">
        <f>MEDIAN(0.05,R112+MEDIAN(-0.302219,P112+NORMSINV(I112)*0.089531*Config!$B$3,0.274961),0.999)</f>
        <v/>
      </c>
      <c r="X112" s="6">
        <f>(INDEX('Earth curves'!$F$2:$F$46,MAX(1,MIN(44,IFERROR(MATCH(W112,'Earth curves'!$E$2:$E$46,1),1))))+(W112-INDEX('Earth curves'!$E$2:$E$46,MAX(1,MIN(44,IFERROR(MATCH(W112,'Earth curves'!$E$2:$E$46,1),1)))))*(INDEX('Earth curves'!$F$2:$F$46,MAX(1,MIN(44,IFERROR(MATCH(W112,'Earth curves'!$E$2:$E$46,1),1)))+1)-INDEX('Earth curves'!$F$2:$F$46,MAX(1,MIN(44,IFERROR(MATCH(W112,'Earth curves'!$E$2:$E$46,1),1)))))/(INDEX('Earth curves'!$E$2:$E$46,MAX(1,MIN(44,IFERROR(MATCH(W112,'Earth curves'!$E$2:$E$46,1),1)))+1)-INDEX('Earth curves'!$E$2:$E$46,MAX(1,MIN(44,IFERROR(MATCH(W112,'Earth curves'!$E$2:$E$46,1),1))))))</f>
        <v/>
      </c>
      <c r="Y112" s="6">
        <f>(INDEX('Earth curves'!$G$2:$G$46,MAX(1,MIN(44,IFERROR(MATCH(W112,'Earth curves'!$E$2:$E$46,1),1))))+(W112-INDEX('Earth curves'!$E$2:$E$46,MAX(1,MIN(44,IFERROR(MATCH(W112,'Earth curves'!$E$2:$E$46,1),1)))))*(INDEX('Earth curves'!$G$2:$G$46,MAX(1,MIN(44,IFERROR(MATCH(W112,'Earth curves'!$E$2:$E$46,1),1)))+1)-INDEX('Earth curves'!$G$2:$G$46,MAX(1,MIN(44,IFERROR(MATCH(W112,'Earth curves'!$E$2:$E$46,1),1)))))/(INDEX('Earth curves'!$E$2:$E$46,MAX(1,MIN(44,IFERROR(MATCH(W112,'Earth curves'!$E$2:$E$46,1),1)))+1)-INDEX('Earth curves'!$E$2:$E$46,MAX(1,MIN(44,IFERROR(MATCH(W112,'Earth curves'!$E$2:$E$46,1),1))))))</f>
        <v/>
      </c>
      <c r="Z112" s="6">
        <f>(MIN(X112/Config!$B$9,1)+MIN(Y112/Config!$B$10,1))/2</f>
        <v/>
      </c>
      <c r="AA112" s="10">
        <f>ROUND(MIN(22,MAX(3,X112*W112/Z112)),1)</f>
        <v/>
      </c>
      <c r="AB112" s="11" t="n"/>
      <c r="AC112" s="10">
        <f>IF(AB112="",AA112,AB112)</f>
        <v/>
      </c>
      <c r="AD112" s="10">
        <f>ROUND(MIN(Config!$B$10,MAX(1,Y112*W112/Z112)),1)</f>
        <v/>
      </c>
      <c r="AE112" s="11" t="n"/>
      <c r="AF112" s="10">
        <f>IF(AE112="",AD112,AE112)</f>
        <v/>
      </c>
      <c r="AG112" s="9">
        <f>(V112-Config!$B$7)/(Config!$B$8-Config!$B$7)</f>
        <v/>
      </c>
      <c r="AH112" s="9">
        <f>(MIN(AC112/Config!$B$9,1)+MIN(AF112/Config!$B$10,1))/2</f>
        <v/>
      </c>
      <c r="AI112" s="12">
        <f>ROUND((AG112*AH112*G112)^(1/3),3)</f>
        <v/>
      </c>
      <c r="AJ112" s="12" t="n">
        <v>0.634</v>
      </c>
      <c r="AK112" s="13">
        <f>AI112-AJ112</f>
        <v/>
      </c>
      <c r="AL112" s="13">
        <f>AK112-AVERAGE($AK$2:$AK$173)</f>
        <v/>
      </c>
      <c r="AM112" s="6">
        <f>IF(ABS(AL112)&gt;Config!$B$11,"REVIEW","")</f>
        <v/>
      </c>
      <c r="AN112" s="14">
        <f>RANK(AI112,$AI$2:$AI$173)</f>
        <v/>
      </c>
      <c r="AO112" s="14">
        <f>RANK(AJ112,$AJ$2:$AJ$173)</f>
        <v/>
      </c>
      <c r="AP112" s="14" t="n">
        <v>112</v>
      </c>
    </row>
    <row r="113">
      <c r="A113" s="6" t="inlineStr">
        <is>
          <t>Prystr Hii</t>
        </is>
      </c>
      <c r="B113" s="6" t="inlineStr">
        <is>
          <t>Massir</t>
        </is>
      </c>
      <c r="C113" s="6" t="inlineStr">
        <is>
          <t>—</t>
        </is>
      </c>
      <c r="D113" s="7" t="n">
        <v>247937</v>
      </c>
      <c r="E113" s="8">
        <f>D113*Config!$B$4</f>
        <v/>
      </c>
      <c r="F113" s="6">
        <f>LN(MAX(60,E113))</f>
        <v/>
      </c>
      <c r="G113" s="9">
        <f>MEDIAN(0,(F113-LN(Config!$B$5))/(LN(Config!$B$6)-LN(Config!$B$5)),1)</f>
        <v/>
      </c>
      <c r="H113" s="6">
        <f>MOD((Config!$B$2+$AP113*7919)*9301+49297,233280)/233280</f>
        <v/>
      </c>
      <c r="I113" s="6">
        <f>MOD((Config!$B$2+$AP113*104729)*4096+150889,714025)/714025</f>
        <v/>
      </c>
      <c r="J113" s="6">
        <f>MOD((Config!$B$2*31+$AP113*15485863)*1366+150889,714025)/714025</f>
        <v/>
      </c>
      <c r="K113" s="6" t="n"/>
      <c r="L113" s="6" t="n"/>
      <c r="M113" s="6">
        <f>COUNTIF(Siblings!$A$2:$A$84,B113)</f>
        <v/>
      </c>
      <c r="N113" s="6">
        <f>1+INT(J113*M113)</f>
        <v/>
      </c>
      <c r="O113" s="6">
        <f>IF(K113&lt;&gt;"",K113,IFERROR(INDEX(Siblings!$D$2:$D$84,MATCH(B113&amp;"|"&amp;N113,Siblings!$F$2:$F$84,0)),0))</f>
        <v/>
      </c>
      <c r="P113" s="6">
        <f>IF(L113&lt;&gt;"",L113,IFERROR(INDEX(Siblings!$E$2:$E$84,MATCH(B113&amp;"|"&amp;N113,Siblings!$F$2:$F$84,0)),0))</f>
        <v/>
      </c>
      <c r="Q113" s="6">
        <f>(INDEX('Earth curves'!$B$2:$B$46,MAX(1,MIN(44,IFERROR(MATCH(F113,'Earth curves'!$A$2:$A$46,1),1))))+(F113-INDEX('Earth curves'!$A$2:$A$46,MAX(1,MIN(44,IFERROR(MATCH(F113,'Earth curves'!$A$2:$A$46,1),1)))))*(INDEX('Earth curves'!$B$2:$B$46,MAX(1,MIN(44,IFERROR(MATCH(F113,'Earth curves'!$A$2:$A$46,1),1)))+1)-INDEX('Earth curves'!$B$2:$B$46,MAX(1,MIN(44,IFERROR(MATCH(F113,'Earth curves'!$A$2:$A$46,1),1)))))/(INDEX('Earth curves'!$A$2:$A$46,MAX(1,MIN(44,IFERROR(MATCH(F113,'Earth curves'!$A$2:$A$46,1),1)))+1)-INDEX('Earth curves'!$A$2:$A$46,MAX(1,MIN(44,IFERROR(MATCH(F113,'Earth curves'!$A$2:$A$46,1),1))))))</f>
        <v/>
      </c>
      <c r="R113" s="6">
        <f>(INDEX('Earth curves'!$C$2:$C$46,MAX(1,MIN(44,IFERROR(MATCH(F113,'Earth curves'!$A$2:$A$46,1),1))))+(F113-INDEX('Earth curves'!$A$2:$A$46,MAX(1,MIN(44,IFERROR(MATCH(F113,'Earth curves'!$A$2:$A$46,1),1)))))*(INDEX('Earth curves'!$C$2:$C$46,MAX(1,MIN(44,IFERROR(MATCH(F113,'Earth curves'!$A$2:$A$46,1),1)))+1)-INDEX('Earth curves'!$C$2:$C$46,MAX(1,MIN(44,IFERROR(MATCH(F113,'Earth curves'!$A$2:$A$46,1),1)))))/(INDEX('Earth curves'!$A$2:$A$46,MAX(1,MIN(44,IFERROR(MATCH(F113,'Earth curves'!$A$2:$A$46,1),1)))+1)-INDEX('Earth curves'!$A$2:$A$46,MAX(1,MIN(44,IFERROR(MATCH(F113,'Earth curves'!$A$2:$A$46,1),1))))))</f>
        <v/>
      </c>
      <c r="S113" s="6">
        <f>MEDIAN(0.307692,Q113+MEDIAN(-0.350583,O113+NORMSINV(H113)*0.064828*Config!$B$3,0.120277),0.993846)</f>
        <v/>
      </c>
      <c r="T113" s="10">
        <f>ROUND(Config!$B$7+(Config!$B$8-Config!$B$7)*S113,1)</f>
        <v/>
      </c>
      <c r="U113" s="11" t="n"/>
      <c r="V113" s="10">
        <f>IF(U113="",T113,U113)</f>
        <v/>
      </c>
      <c r="W113" s="6">
        <f>MEDIAN(0.05,R113+MEDIAN(-0.302219,P113+NORMSINV(I113)*0.089531*Config!$B$3,0.274961),0.999)</f>
        <v/>
      </c>
      <c r="X113" s="6">
        <f>(INDEX('Earth curves'!$F$2:$F$46,MAX(1,MIN(44,IFERROR(MATCH(W113,'Earth curves'!$E$2:$E$46,1),1))))+(W113-INDEX('Earth curves'!$E$2:$E$46,MAX(1,MIN(44,IFERROR(MATCH(W113,'Earth curves'!$E$2:$E$46,1),1)))))*(INDEX('Earth curves'!$F$2:$F$46,MAX(1,MIN(44,IFERROR(MATCH(W113,'Earth curves'!$E$2:$E$46,1),1)))+1)-INDEX('Earth curves'!$F$2:$F$46,MAX(1,MIN(44,IFERROR(MATCH(W113,'Earth curves'!$E$2:$E$46,1),1)))))/(INDEX('Earth curves'!$E$2:$E$46,MAX(1,MIN(44,IFERROR(MATCH(W113,'Earth curves'!$E$2:$E$46,1),1)))+1)-INDEX('Earth curves'!$E$2:$E$46,MAX(1,MIN(44,IFERROR(MATCH(W113,'Earth curves'!$E$2:$E$46,1),1))))))</f>
        <v/>
      </c>
      <c r="Y113" s="6">
        <f>(INDEX('Earth curves'!$G$2:$G$46,MAX(1,MIN(44,IFERROR(MATCH(W113,'Earth curves'!$E$2:$E$46,1),1))))+(W113-INDEX('Earth curves'!$E$2:$E$46,MAX(1,MIN(44,IFERROR(MATCH(W113,'Earth curves'!$E$2:$E$46,1),1)))))*(INDEX('Earth curves'!$G$2:$G$46,MAX(1,MIN(44,IFERROR(MATCH(W113,'Earth curves'!$E$2:$E$46,1),1)))+1)-INDEX('Earth curves'!$G$2:$G$46,MAX(1,MIN(44,IFERROR(MATCH(W113,'Earth curves'!$E$2:$E$46,1),1)))))/(INDEX('Earth curves'!$E$2:$E$46,MAX(1,MIN(44,IFERROR(MATCH(W113,'Earth curves'!$E$2:$E$46,1),1)))+1)-INDEX('Earth curves'!$E$2:$E$46,MAX(1,MIN(44,IFERROR(MATCH(W113,'Earth curves'!$E$2:$E$46,1),1))))))</f>
        <v/>
      </c>
      <c r="Z113" s="6">
        <f>(MIN(X113/Config!$B$9,1)+MIN(Y113/Config!$B$10,1))/2</f>
        <v/>
      </c>
      <c r="AA113" s="10">
        <f>ROUND(MIN(22,MAX(3,X113*W113/Z113)),1)</f>
        <v/>
      </c>
      <c r="AB113" s="11" t="n"/>
      <c r="AC113" s="10">
        <f>IF(AB113="",AA113,AB113)</f>
        <v/>
      </c>
      <c r="AD113" s="10">
        <f>ROUND(MIN(Config!$B$10,MAX(1,Y113*W113/Z113)),1)</f>
        <v/>
      </c>
      <c r="AE113" s="11" t="n"/>
      <c r="AF113" s="10">
        <f>IF(AE113="",AD113,AE113)</f>
        <v/>
      </c>
      <c r="AG113" s="9">
        <f>(V113-Config!$B$7)/(Config!$B$8-Config!$B$7)</f>
        <v/>
      </c>
      <c r="AH113" s="9">
        <f>(MIN(AC113/Config!$B$9,1)+MIN(AF113/Config!$B$10,1))/2</f>
        <v/>
      </c>
      <c r="AI113" s="12">
        <f>ROUND((AG113*AH113*G113)^(1/3),3)</f>
        <v/>
      </c>
      <c r="AJ113" s="12" t="n">
        <v>0.913</v>
      </c>
      <c r="AK113" s="13">
        <f>AI113-AJ113</f>
        <v/>
      </c>
      <c r="AL113" s="13">
        <f>AK113-AVERAGE($AK$2:$AK$173)</f>
        <v/>
      </c>
      <c r="AM113" s="6">
        <f>IF(ABS(AL113)&gt;Config!$B$11,"REVIEW","")</f>
        <v/>
      </c>
      <c r="AN113" s="14">
        <f>RANK(AI113,$AI$2:$AI$173)</f>
        <v/>
      </c>
      <c r="AO113" s="14">
        <f>RANK(AJ113,$AJ$2:$AJ$173)</f>
        <v/>
      </c>
      <c r="AP113" s="14" t="n">
        <v>113</v>
      </c>
    </row>
    <row r="114">
      <c r="A114" s="6" t="inlineStr">
        <is>
          <t>Quidic</t>
        </is>
      </c>
      <c r="B114" s="6" t="inlineStr">
        <is>
          <t>Quia</t>
        </is>
      </c>
      <c r="C114" s="6" t="inlineStr">
        <is>
          <t>resource</t>
        </is>
      </c>
      <c r="D114" s="7" t="n">
        <v>40000</v>
      </c>
      <c r="E114" s="8">
        <f>D114*Config!$B$4</f>
        <v/>
      </c>
      <c r="F114" s="6">
        <f>LN(MAX(60,E114))</f>
        <v/>
      </c>
      <c r="G114" s="9">
        <f>MEDIAN(0,(F114-LN(Config!$B$5))/(LN(Config!$B$6)-LN(Config!$B$5)),1)</f>
        <v/>
      </c>
      <c r="H114" s="6">
        <f>MOD((Config!$B$2+$AP114*7919)*9301+49297,233280)/233280</f>
        <v/>
      </c>
      <c r="I114" s="6">
        <f>MOD((Config!$B$2+$AP114*104729)*4096+150889,714025)/714025</f>
        <v/>
      </c>
      <c r="J114" s="6">
        <f>MOD((Config!$B$2*31+$AP114*15485863)*1366+150889,714025)/714025</f>
        <v/>
      </c>
      <c r="K114" s="6" t="n">
        <v>0.062806</v>
      </c>
      <c r="L114" s="6" t="n">
        <v>-0.040951</v>
      </c>
      <c r="M114" s="6">
        <f>COUNTIF(Siblings!$A$2:$A$84,B114)</f>
        <v/>
      </c>
      <c r="N114" s="6">
        <f>1+INT(J114*M114)</f>
        <v/>
      </c>
      <c r="O114" s="6">
        <f>IF(K114&lt;&gt;"",K114,IFERROR(INDEX(Siblings!$D$2:$D$84,MATCH(B114&amp;"|"&amp;N114,Siblings!$F$2:$F$84,0)),0))</f>
        <v/>
      </c>
      <c r="P114" s="6">
        <f>IF(L114&lt;&gt;"",L114,IFERROR(INDEX(Siblings!$E$2:$E$84,MATCH(B114&amp;"|"&amp;N114,Siblings!$F$2:$F$84,0)),0))</f>
        <v/>
      </c>
      <c r="Q114" s="6">
        <f>(INDEX('Earth curves'!$B$2:$B$46,MAX(1,MIN(44,IFERROR(MATCH(F114,'Earth curves'!$A$2:$A$46,1),1))))+(F114-INDEX('Earth curves'!$A$2:$A$46,MAX(1,MIN(44,IFERROR(MATCH(F114,'Earth curves'!$A$2:$A$46,1),1)))))*(INDEX('Earth curves'!$B$2:$B$46,MAX(1,MIN(44,IFERROR(MATCH(F114,'Earth curves'!$A$2:$A$46,1),1)))+1)-INDEX('Earth curves'!$B$2:$B$46,MAX(1,MIN(44,IFERROR(MATCH(F114,'Earth curves'!$A$2:$A$46,1),1)))))/(INDEX('Earth curves'!$A$2:$A$46,MAX(1,MIN(44,IFERROR(MATCH(F114,'Earth curves'!$A$2:$A$46,1),1)))+1)-INDEX('Earth curves'!$A$2:$A$46,MAX(1,MIN(44,IFERROR(MATCH(F114,'Earth curves'!$A$2:$A$46,1),1))))))</f>
        <v/>
      </c>
      <c r="R114" s="6">
        <f>(INDEX('Earth curves'!$C$2:$C$46,MAX(1,MIN(44,IFERROR(MATCH(F114,'Earth curves'!$A$2:$A$46,1),1))))+(F114-INDEX('Earth curves'!$A$2:$A$46,MAX(1,MIN(44,IFERROR(MATCH(F114,'Earth curves'!$A$2:$A$46,1),1)))))*(INDEX('Earth curves'!$C$2:$C$46,MAX(1,MIN(44,IFERROR(MATCH(F114,'Earth curves'!$A$2:$A$46,1),1)))+1)-INDEX('Earth curves'!$C$2:$C$46,MAX(1,MIN(44,IFERROR(MATCH(F114,'Earth curves'!$A$2:$A$46,1),1)))))/(INDEX('Earth curves'!$A$2:$A$46,MAX(1,MIN(44,IFERROR(MATCH(F114,'Earth curves'!$A$2:$A$46,1),1)))+1)-INDEX('Earth curves'!$A$2:$A$46,MAX(1,MIN(44,IFERROR(MATCH(F114,'Earth curves'!$A$2:$A$46,1),1))))))</f>
        <v/>
      </c>
      <c r="S114" s="6">
        <f>MEDIAN(0.307692,Q114+MEDIAN(-0.350583,O114+NORMSINV(H114)*0.064828*Config!$B$3,0.120277),0.993846)</f>
        <v/>
      </c>
      <c r="T114" s="10">
        <f>ROUND(Config!$B$7+(Config!$B$8-Config!$B$7)*S114,1)</f>
        <v/>
      </c>
      <c r="U114" s="11" t="n"/>
      <c r="V114" s="10">
        <f>IF(U114="",T114,U114)</f>
        <v/>
      </c>
      <c r="W114" s="6">
        <f>MEDIAN(0.05,R114+MEDIAN(-0.302219,P114+NORMSINV(I114)*0.089531*Config!$B$3,0.274961),0.999)</f>
        <v/>
      </c>
      <c r="X114" s="6">
        <f>(INDEX('Earth curves'!$F$2:$F$46,MAX(1,MIN(44,IFERROR(MATCH(W114,'Earth curves'!$E$2:$E$46,1),1))))+(W114-INDEX('Earth curves'!$E$2:$E$46,MAX(1,MIN(44,IFERROR(MATCH(W114,'Earth curves'!$E$2:$E$46,1),1)))))*(INDEX('Earth curves'!$F$2:$F$46,MAX(1,MIN(44,IFERROR(MATCH(W114,'Earth curves'!$E$2:$E$46,1),1)))+1)-INDEX('Earth curves'!$F$2:$F$46,MAX(1,MIN(44,IFERROR(MATCH(W114,'Earth curves'!$E$2:$E$46,1),1)))))/(INDEX('Earth curves'!$E$2:$E$46,MAX(1,MIN(44,IFERROR(MATCH(W114,'Earth curves'!$E$2:$E$46,1),1)))+1)-INDEX('Earth curves'!$E$2:$E$46,MAX(1,MIN(44,IFERROR(MATCH(W114,'Earth curves'!$E$2:$E$46,1),1))))))</f>
        <v/>
      </c>
      <c r="Y114" s="6">
        <f>(INDEX('Earth curves'!$G$2:$G$46,MAX(1,MIN(44,IFERROR(MATCH(W114,'Earth curves'!$E$2:$E$46,1),1))))+(W114-INDEX('Earth curves'!$E$2:$E$46,MAX(1,MIN(44,IFERROR(MATCH(W114,'Earth curves'!$E$2:$E$46,1),1)))))*(INDEX('Earth curves'!$G$2:$G$46,MAX(1,MIN(44,IFERROR(MATCH(W114,'Earth curves'!$E$2:$E$46,1),1)))+1)-INDEX('Earth curves'!$G$2:$G$46,MAX(1,MIN(44,IFERROR(MATCH(W114,'Earth curves'!$E$2:$E$46,1),1)))))/(INDEX('Earth curves'!$E$2:$E$46,MAX(1,MIN(44,IFERROR(MATCH(W114,'Earth curves'!$E$2:$E$46,1),1)))+1)-INDEX('Earth curves'!$E$2:$E$46,MAX(1,MIN(44,IFERROR(MATCH(W114,'Earth curves'!$E$2:$E$46,1),1))))))</f>
        <v/>
      </c>
      <c r="Z114" s="6">
        <f>(MIN(X114/Config!$B$9,1)+MIN(Y114/Config!$B$10,1))/2</f>
        <v/>
      </c>
      <c r="AA114" s="10">
        <f>ROUND(MIN(22,MAX(3,X114*W114/Z114)),1)</f>
        <v/>
      </c>
      <c r="AB114" s="11" t="n"/>
      <c r="AC114" s="10">
        <f>IF(AB114="",AA114,AB114)</f>
        <v/>
      </c>
      <c r="AD114" s="10">
        <f>ROUND(MIN(Config!$B$10,MAX(1,Y114*W114/Z114)),1)</f>
        <v/>
      </c>
      <c r="AE114" s="11" t="n"/>
      <c r="AF114" s="10">
        <f>IF(AE114="",AD114,AE114)</f>
        <v/>
      </c>
      <c r="AG114" s="9">
        <f>(V114-Config!$B$7)/(Config!$B$8-Config!$B$7)</f>
        <v/>
      </c>
      <c r="AH114" s="9">
        <f>(MIN(AC114/Config!$B$9,1)+MIN(AF114/Config!$B$10,1))/2</f>
        <v/>
      </c>
      <c r="AI114" s="12">
        <f>ROUND((AG114*AH114*G114)^(1/3),3)</f>
        <v/>
      </c>
      <c r="AJ114" s="12" t="n">
        <v>0.734</v>
      </c>
      <c r="AK114" s="13">
        <f>AI114-AJ114</f>
        <v/>
      </c>
      <c r="AL114" s="13">
        <f>AK114-AVERAGE($AK$2:$AK$173)</f>
        <v/>
      </c>
      <c r="AM114" s="6">
        <f>IF(ABS(AL114)&gt;Config!$B$11,"REVIEW","")</f>
        <v/>
      </c>
      <c r="AN114" s="14">
        <f>RANK(AI114,$AI$2:$AI$173)</f>
        <v/>
      </c>
      <c r="AO114" s="14">
        <f>RANK(AJ114,$AJ$2:$AJ$173)</f>
        <v/>
      </c>
      <c r="AP114" s="14" t="n">
        <v>114</v>
      </c>
    </row>
    <row r="115">
      <c r="A115" s="6" t="inlineStr">
        <is>
          <t>Raledria</t>
        </is>
      </c>
      <c r="B115" s="6" t="inlineStr">
        <is>
          <t>Atirha</t>
        </is>
      </c>
      <c r="C115" s="6" t="inlineStr">
        <is>
          <t>resource, tradehub, university</t>
        </is>
      </c>
      <c r="D115" s="7" t="n">
        <v>227937</v>
      </c>
      <c r="E115" s="8">
        <f>D115*Config!$B$4</f>
        <v/>
      </c>
      <c r="F115" s="6">
        <f>LN(MAX(60,E115))</f>
        <v/>
      </c>
      <c r="G115" s="9">
        <f>MEDIAN(0,(F115-LN(Config!$B$5))/(LN(Config!$B$6)-LN(Config!$B$5)),1)</f>
        <v/>
      </c>
      <c r="H115" s="6">
        <f>MOD((Config!$B$2+$AP115*7919)*9301+49297,233280)/233280</f>
        <v/>
      </c>
      <c r="I115" s="6">
        <f>MOD((Config!$B$2+$AP115*104729)*4096+150889,714025)/714025</f>
        <v/>
      </c>
      <c r="J115" s="6">
        <f>MOD((Config!$B$2*31+$AP115*15485863)*1366+150889,714025)/714025</f>
        <v/>
      </c>
      <c r="K115" s="6" t="n"/>
      <c r="L115" s="6" t="n"/>
      <c r="M115" s="6">
        <f>COUNTIF(Siblings!$A$2:$A$84,B115)</f>
        <v/>
      </c>
      <c r="N115" s="6">
        <f>1+INT(J115*M115)</f>
        <v/>
      </c>
      <c r="O115" s="6">
        <f>IF(K115&lt;&gt;"",K115,IFERROR(INDEX(Siblings!$D$2:$D$84,MATCH(B115&amp;"|"&amp;N115,Siblings!$F$2:$F$84,0)),0))</f>
        <v/>
      </c>
      <c r="P115" s="6">
        <f>IF(L115&lt;&gt;"",L115,IFERROR(INDEX(Siblings!$E$2:$E$84,MATCH(B115&amp;"|"&amp;N115,Siblings!$F$2:$F$84,0)),0))</f>
        <v/>
      </c>
      <c r="Q115" s="6">
        <f>(INDEX('Earth curves'!$B$2:$B$46,MAX(1,MIN(44,IFERROR(MATCH(F115,'Earth curves'!$A$2:$A$46,1),1))))+(F115-INDEX('Earth curves'!$A$2:$A$46,MAX(1,MIN(44,IFERROR(MATCH(F115,'Earth curves'!$A$2:$A$46,1),1)))))*(INDEX('Earth curves'!$B$2:$B$46,MAX(1,MIN(44,IFERROR(MATCH(F115,'Earth curves'!$A$2:$A$46,1),1)))+1)-INDEX('Earth curves'!$B$2:$B$46,MAX(1,MIN(44,IFERROR(MATCH(F115,'Earth curves'!$A$2:$A$46,1),1)))))/(INDEX('Earth curves'!$A$2:$A$46,MAX(1,MIN(44,IFERROR(MATCH(F115,'Earth curves'!$A$2:$A$46,1),1)))+1)-INDEX('Earth curves'!$A$2:$A$46,MAX(1,MIN(44,IFERROR(MATCH(F115,'Earth curves'!$A$2:$A$46,1),1))))))</f>
        <v/>
      </c>
      <c r="R115" s="6">
        <f>(INDEX('Earth curves'!$C$2:$C$46,MAX(1,MIN(44,IFERROR(MATCH(F115,'Earth curves'!$A$2:$A$46,1),1))))+(F115-INDEX('Earth curves'!$A$2:$A$46,MAX(1,MIN(44,IFERROR(MATCH(F115,'Earth curves'!$A$2:$A$46,1),1)))))*(INDEX('Earth curves'!$C$2:$C$46,MAX(1,MIN(44,IFERROR(MATCH(F115,'Earth curves'!$A$2:$A$46,1),1)))+1)-INDEX('Earth curves'!$C$2:$C$46,MAX(1,MIN(44,IFERROR(MATCH(F115,'Earth curves'!$A$2:$A$46,1),1)))))/(INDEX('Earth curves'!$A$2:$A$46,MAX(1,MIN(44,IFERROR(MATCH(F115,'Earth curves'!$A$2:$A$46,1),1)))+1)-INDEX('Earth curves'!$A$2:$A$46,MAX(1,MIN(44,IFERROR(MATCH(F115,'Earth curves'!$A$2:$A$46,1),1))))))</f>
        <v/>
      </c>
      <c r="S115" s="6">
        <f>MEDIAN(0.307692,Q115+MEDIAN(-0.350583,O115+NORMSINV(H115)*0.064828*Config!$B$3,0.120277),0.993846)</f>
        <v/>
      </c>
      <c r="T115" s="10">
        <f>ROUND(Config!$B$7+(Config!$B$8-Config!$B$7)*S115,1)</f>
        <v/>
      </c>
      <c r="U115" s="11" t="n"/>
      <c r="V115" s="10">
        <f>IF(U115="",T115,U115)</f>
        <v/>
      </c>
      <c r="W115" s="6">
        <f>MEDIAN(0.05,R115+MEDIAN(-0.302219,P115+NORMSINV(I115)*0.089531*Config!$B$3,0.274961),0.999)</f>
        <v/>
      </c>
      <c r="X115" s="6">
        <f>(INDEX('Earth curves'!$F$2:$F$46,MAX(1,MIN(44,IFERROR(MATCH(W115,'Earth curves'!$E$2:$E$46,1),1))))+(W115-INDEX('Earth curves'!$E$2:$E$46,MAX(1,MIN(44,IFERROR(MATCH(W115,'Earth curves'!$E$2:$E$46,1),1)))))*(INDEX('Earth curves'!$F$2:$F$46,MAX(1,MIN(44,IFERROR(MATCH(W115,'Earth curves'!$E$2:$E$46,1),1)))+1)-INDEX('Earth curves'!$F$2:$F$46,MAX(1,MIN(44,IFERROR(MATCH(W115,'Earth curves'!$E$2:$E$46,1),1)))))/(INDEX('Earth curves'!$E$2:$E$46,MAX(1,MIN(44,IFERROR(MATCH(W115,'Earth curves'!$E$2:$E$46,1),1)))+1)-INDEX('Earth curves'!$E$2:$E$46,MAX(1,MIN(44,IFERROR(MATCH(W115,'Earth curves'!$E$2:$E$46,1),1))))))</f>
        <v/>
      </c>
      <c r="Y115" s="6">
        <f>(INDEX('Earth curves'!$G$2:$G$46,MAX(1,MIN(44,IFERROR(MATCH(W115,'Earth curves'!$E$2:$E$46,1),1))))+(W115-INDEX('Earth curves'!$E$2:$E$46,MAX(1,MIN(44,IFERROR(MATCH(W115,'Earth curves'!$E$2:$E$46,1),1)))))*(INDEX('Earth curves'!$G$2:$G$46,MAX(1,MIN(44,IFERROR(MATCH(W115,'Earth curves'!$E$2:$E$46,1),1)))+1)-INDEX('Earth curves'!$G$2:$G$46,MAX(1,MIN(44,IFERROR(MATCH(W115,'Earth curves'!$E$2:$E$46,1),1)))))/(INDEX('Earth curves'!$E$2:$E$46,MAX(1,MIN(44,IFERROR(MATCH(W115,'Earth curves'!$E$2:$E$46,1),1)))+1)-INDEX('Earth curves'!$E$2:$E$46,MAX(1,MIN(44,IFERROR(MATCH(W115,'Earth curves'!$E$2:$E$46,1),1))))))</f>
        <v/>
      </c>
      <c r="Z115" s="6">
        <f>(MIN(X115/Config!$B$9,1)+MIN(Y115/Config!$B$10,1))/2</f>
        <v/>
      </c>
      <c r="AA115" s="10">
        <f>ROUND(MIN(22,MAX(3,X115*W115/Z115)),1)</f>
        <v/>
      </c>
      <c r="AB115" s="11" t="n"/>
      <c r="AC115" s="10">
        <f>IF(AB115="",AA115,AB115)</f>
        <v/>
      </c>
      <c r="AD115" s="10">
        <f>ROUND(MIN(Config!$B$10,MAX(1,Y115*W115/Z115)),1)</f>
        <v/>
      </c>
      <c r="AE115" s="11" t="n"/>
      <c r="AF115" s="10">
        <f>IF(AE115="",AD115,AE115)</f>
        <v/>
      </c>
      <c r="AG115" s="9">
        <f>(V115-Config!$B$7)/(Config!$B$8-Config!$B$7)</f>
        <v/>
      </c>
      <c r="AH115" s="9">
        <f>(MIN(AC115/Config!$B$9,1)+MIN(AF115/Config!$B$10,1))/2</f>
        <v/>
      </c>
      <c r="AI115" s="12">
        <f>ROUND((AG115*AH115*G115)^(1/3),3)</f>
        <v/>
      </c>
      <c r="AJ115" s="12" t="n">
        <v>0.9419999999999999</v>
      </c>
      <c r="AK115" s="13">
        <f>AI115-AJ115</f>
        <v/>
      </c>
      <c r="AL115" s="13">
        <f>AK115-AVERAGE($AK$2:$AK$173)</f>
        <v/>
      </c>
      <c r="AM115" s="6">
        <f>IF(ABS(AL115)&gt;Config!$B$11,"REVIEW","")</f>
        <v/>
      </c>
      <c r="AN115" s="14">
        <f>RANK(AI115,$AI$2:$AI$173)</f>
        <v/>
      </c>
      <c r="AO115" s="14">
        <f>RANK(AJ115,$AJ$2:$AJ$173)</f>
        <v/>
      </c>
      <c r="AP115" s="14" t="n">
        <v>115</v>
      </c>
    </row>
    <row r="116">
      <c r="A116" s="6" t="inlineStr">
        <is>
          <t>Reerica</t>
        </is>
      </c>
      <c r="B116" s="6" t="inlineStr">
        <is>
          <t>Acrola</t>
        </is>
      </c>
      <c r="C116" s="6" t="inlineStr">
        <is>
          <t>—</t>
        </is>
      </c>
      <c r="D116" s="7" t="n">
        <v>60952</v>
      </c>
      <c r="E116" s="8">
        <f>D116*Config!$B$4</f>
        <v/>
      </c>
      <c r="F116" s="6">
        <f>LN(MAX(60,E116))</f>
        <v/>
      </c>
      <c r="G116" s="9">
        <f>MEDIAN(0,(F116-LN(Config!$B$5))/(LN(Config!$B$6)-LN(Config!$B$5)),1)</f>
        <v/>
      </c>
      <c r="H116" s="6">
        <f>MOD((Config!$B$2+$AP116*7919)*9301+49297,233280)/233280</f>
        <v/>
      </c>
      <c r="I116" s="6">
        <f>MOD((Config!$B$2+$AP116*104729)*4096+150889,714025)/714025</f>
        <v/>
      </c>
      <c r="J116" s="6">
        <f>MOD((Config!$B$2*31+$AP116*15485863)*1366+150889,714025)/714025</f>
        <v/>
      </c>
      <c r="K116" s="6" t="n">
        <v>-0.127338</v>
      </c>
      <c r="L116" s="6" t="n">
        <v>-0.112379</v>
      </c>
      <c r="M116" s="6">
        <f>COUNTIF(Siblings!$A$2:$A$84,B116)</f>
        <v/>
      </c>
      <c r="N116" s="6">
        <f>1+INT(J116*M116)</f>
        <v/>
      </c>
      <c r="O116" s="6">
        <f>IF(K116&lt;&gt;"",K116,IFERROR(INDEX(Siblings!$D$2:$D$84,MATCH(B116&amp;"|"&amp;N116,Siblings!$F$2:$F$84,0)),0))</f>
        <v/>
      </c>
      <c r="P116" s="6">
        <f>IF(L116&lt;&gt;"",L116,IFERROR(INDEX(Siblings!$E$2:$E$84,MATCH(B116&amp;"|"&amp;N116,Siblings!$F$2:$F$84,0)),0))</f>
        <v/>
      </c>
      <c r="Q116" s="6">
        <f>(INDEX('Earth curves'!$B$2:$B$46,MAX(1,MIN(44,IFERROR(MATCH(F116,'Earth curves'!$A$2:$A$46,1),1))))+(F116-INDEX('Earth curves'!$A$2:$A$46,MAX(1,MIN(44,IFERROR(MATCH(F116,'Earth curves'!$A$2:$A$46,1),1)))))*(INDEX('Earth curves'!$B$2:$B$46,MAX(1,MIN(44,IFERROR(MATCH(F116,'Earth curves'!$A$2:$A$46,1),1)))+1)-INDEX('Earth curves'!$B$2:$B$46,MAX(1,MIN(44,IFERROR(MATCH(F116,'Earth curves'!$A$2:$A$46,1),1)))))/(INDEX('Earth curves'!$A$2:$A$46,MAX(1,MIN(44,IFERROR(MATCH(F116,'Earth curves'!$A$2:$A$46,1),1)))+1)-INDEX('Earth curves'!$A$2:$A$46,MAX(1,MIN(44,IFERROR(MATCH(F116,'Earth curves'!$A$2:$A$46,1),1))))))</f>
        <v/>
      </c>
      <c r="R116" s="6">
        <f>(INDEX('Earth curves'!$C$2:$C$46,MAX(1,MIN(44,IFERROR(MATCH(F116,'Earth curves'!$A$2:$A$46,1),1))))+(F116-INDEX('Earth curves'!$A$2:$A$46,MAX(1,MIN(44,IFERROR(MATCH(F116,'Earth curves'!$A$2:$A$46,1),1)))))*(INDEX('Earth curves'!$C$2:$C$46,MAX(1,MIN(44,IFERROR(MATCH(F116,'Earth curves'!$A$2:$A$46,1),1)))+1)-INDEX('Earth curves'!$C$2:$C$46,MAX(1,MIN(44,IFERROR(MATCH(F116,'Earth curves'!$A$2:$A$46,1),1)))))/(INDEX('Earth curves'!$A$2:$A$46,MAX(1,MIN(44,IFERROR(MATCH(F116,'Earth curves'!$A$2:$A$46,1),1)))+1)-INDEX('Earth curves'!$A$2:$A$46,MAX(1,MIN(44,IFERROR(MATCH(F116,'Earth curves'!$A$2:$A$46,1),1))))))</f>
        <v/>
      </c>
      <c r="S116" s="6">
        <f>MEDIAN(0.307692,Q116+MEDIAN(-0.350583,O116+NORMSINV(H116)*0.064828*Config!$B$3,0.120277),0.993846)</f>
        <v/>
      </c>
      <c r="T116" s="10">
        <f>ROUND(Config!$B$7+(Config!$B$8-Config!$B$7)*S116,1)</f>
        <v/>
      </c>
      <c r="U116" s="11" t="n"/>
      <c r="V116" s="10">
        <f>IF(U116="",T116,U116)</f>
        <v/>
      </c>
      <c r="W116" s="6">
        <f>MEDIAN(0.05,R116+MEDIAN(-0.302219,P116+NORMSINV(I116)*0.089531*Config!$B$3,0.274961),0.999)</f>
        <v/>
      </c>
      <c r="X116" s="6">
        <f>(INDEX('Earth curves'!$F$2:$F$46,MAX(1,MIN(44,IFERROR(MATCH(W116,'Earth curves'!$E$2:$E$46,1),1))))+(W116-INDEX('Earth curves'!$E$2:$E$46,MAX(1,MIN(44,IFERROR(MATCH(W116,'Earth curves'!$E$2:$E$46,1),1)))))*(INDEX('Earth curves'!$F$2:$F$46,MAX(1,MIN(44,IFERROR(MATCH(W116,'Earth curves'!$E$2:$E$46,1),1)))+1)-INDEX('Earth curves'!$F$2:$F$46,MAX(1,MIN(44,IFERROR(MATCH(W116,'Earth curves'!$E$2:$E$46,1),1)))))/(INDEX('Earth curves'!$E$2:$E$46,MAX(1,MIN(44,IFERROR(MATCH(W116,'Earth curves'!$E$2:$E$46,1),1)))+1)-INDEX('Earth curves'!$E$2:$E$46,MAX(1,MIN(44,IFERROR(MATCH(W116,'Earth curves'!$E$2:$E$46,1),1))))))</f>
        <v/>
      </c>
      <c r="Y116" s="6">
        <f>(INDEX('Earth curves'!$G$2:$G$46,MAX(1,MIN(44,IFERROR(MATCH(W116,'Earth curves'!$E$2:$E$46,1),1))))+(W116-INDEX('Earth curves'!$E$2:$E$46,MAX(1,MIN(44,IFERROR(MATCH(W116,'Earth curves'!$E$2:$E$46,1),1)))))*(INDEX('Earth curves'!$G$2:$G$46,MAX(1,MIN(44,IFERROR(MATCH(W116,'Earth curves'!$E$2:$E$46,1),1)))+1)-INDEX('Earth curves'!$G$2:$G$46,MAX(1,MIN(44,IFERROR(MATCH(W116,'Earth curves'!$E$2:$E$46,1),1)))))/(INDEX('Earth curves'!$E$2:$E$46,MAX(1,MIN(44,IFERROR(MATCH(W116,'Earth curves'!$E$2:$E$46,1),1)))+1)-INDEX('Earth curves'!$E$2:$E$46,MAX(1,MIN(44,IFERROR(MATCH(W116,'Earth curves'!$E$2:$E$46,1),1))))))</f>
        <v/>
      </c>
      <c r="Z116" s="6">
        <f>(MIN(X116/Config!$B$9,1)+MIN(Y116/Config!$B$10,1))/2</f>
        <v/>
      </c>
      <c r="AA116" s="10">
        <f>ROUND(MIN(22,MAX(3,X116*W116/Z116)),1)</f>
        <v/>
      </c>
      <c r="AB116" s="11" t="n"/>
      <c r="AC116" s="10">
        <f>IF(AB116="",AA116,AB116)</f>
        <v/>
      </c>
      <c r="AD116" s="10">
        <f>ROUND(MIN(Config!$B$10,MAX(1,Y116*W116/Z116)),1)</f>
        <v/>
      </c>
      <c r="AE116" s="11" t="n"/>
      <c r="AF116" s="10">
        <f>IF(AE116="",AD116,AE116)</f>
        <v/>
      </c>
      <c r="AG116" s="9">
        <f>(V116-Config!$B$7)/(Config!$B$8-Config!$B$7)</f>
        <v/>
      </c>
      <c r="AH116" s="9">
        <f>(MIN(AC116/Config!$B$9,1)+MIN(AF116/Config!$B$10,1))/2</f>
        <v/>
      </c>
      <c r="AI116" s="12">
        <f>ROUND((AG116*AH116*G116)^(1/3),3)</f>
        <v/>
      </c>
      <c r="AJ116" s="12" t="n">
        <v>0.728</v>
      </c>
      <c r="AK116" s="13">
        <f>AI116-AJ116</f>
        <v/>
      </c>
      <c r="AL116" s="13">
        <f>AK116-AVERAGE($AK$2:$AK$173)</f>
        <v/>
      </c>
      <c r="AM116" s="6">
        <f>IF(ABS(AL116)&gt;Config!$B$11,"REVIEW","")</f>
        <v/>
      </c>
      <c r="AN116" s="14">
        <f>RANK(AI116,$AI$2:$AI$173)</f>
        <v/>
      </c>
      <c r="AO116" s="14">
        <f>RANK(AJ116,$AJ$2:$AJ$173)</f>
        <v/>
      </c>
      <c r="AP116" s="14" t="n">
        <v>116</v>
      </c>
    </row>
    <row r="117">
      <c r="A117" s="6" t="inlineStr">
        <is>
          <t>Rethern</t>
        </is>
      </c>
      <c r="B117" s="6" t="inlineStr">
        <is>
          <t>New Ayre</t>
        </is>
      </c>
      <c r="C117" s="6" t="inlineStr">
        <is>
          <t>microstate</t>
        </is>
      </c>
      <c r="D117" s="7" t="n">
        <v>40317</v>
      </c>
      <c r="E117" s="8">
        <f>D117*Config!$B$4</f>
        <v/>
      </c>
      <c r="F117" s="6">
        <f>LN(MAX(60,E117))</f>
        <v/>
      </c>
      <c r="G117" s="9">
        <f>MEDIAN(0,(F117-LN(Config!$B$5))/(LN(Config!$B$6)-LN(Config!$B$5)),1)</f>
        <v/>
      </c>
      <c r="H117" s="6">
        <f>MOD((Config!$B$2+$AP117*7919)*9301+49297,233280)/233280</f>
        <v/>
      </c>
      <c r="I117" s="6">
        <f>MOD((Config!$B$2+$AP117*104729)*4096+150889,714025)/714025</f>
        <v/>
      </c>
      <c r="J117" s="6">
        <f>MOD((Config!$B$2*31+$AP117*15485863)*1366+150889,714025)/714025</f>
        <v/>
      </c>
      <c r="K117" s="6" t="n"/>
      <c r="L117" s="6" t="n"/>
      <c r="M117" s="6">
        <f>COUNTIF(Siblings!$A$2:$A$84,B117)</f>
        <v/>
      </c>
      <c r="N117" s="6">
        <f>1+INT(J117*M117)</f>
        <v/>
      </c>
      <c r="O117" s="6">
        <f>IF(K117&lt;&gt;"",K117,IFERROR(INDEX(Siblings!$D$2:$D$84,MATCH(B117&amp;"|"&amp;N117,Siblings!$F$2:$F$84,0)),0))</f>
        <v/>
      </c>
      <c r="P117" s="6">
        <f>IF(L117&lt;&gt;"",L117,IFERROR(INDEX(Siblings!$E$2:$E$84,MATCH(B117&amp;"|"&amp;N117,Siblings!$F$2:$F$84,0)),0))</f>
        <v/>
      </c>
      <c r="Q117" s="6">
        <f>(INDEX('Earth curves'!$B$2:$B$46,MAX(1,MIN(44,IFERROR(MATCH(F117,'Earth curves'!$A$2:$A$46,1),1))))+(F117-INDEX('Earth curves'!$A$2:$A$46,MAX(1,MIN(44,IFERROR(MATCH(F117,'Earth curves'!$A$2:$A$46,1),1)))))*(INDEX('Earth curves'!$B$2:$B$46,MAX(1,MIN(44,IFERROR(MATCH(F117,'Earth curves'!$A$2:$A$46,1),1)))+1)-INDEX('Earth curves'!$B$2:$B$46,MAX(1,MIN(44,IFERROR(MATCH(F117,'Earth curves'!$A$2:$A$46,1),1)))))/(INDEX('Earth curves'!$A$2:$A$46,MAX(1,MIN(44,IFERROR(MATCH(F117,'Earth curves'!$A$2:$A$46,1),1)))+1)-INDEX('Earth curves'!$A$2:$A$46,MAX(1,MIN(44,IFERROR(MATCH(F117,'Earth curves'!$A$2:$A$46,1),1))))))</f>
        <v/>
      </c>
      <c r="R117" s="6">
        <f>(INDEX('Earth curves'!$C$2:$C$46,MAX(1,MIN(44,IFERROR(MATCH(F117,'Earth curves'!$A$2:$A$46,1),1))))+(F117-INDEX('Earth curves'!$A$2:$A$46,MAX(1,MIN(44,IFERROR(MATCH(F117,'Earth curves'!$A$2:$A$46,1),1)))))*(INDEX('Earth curves'!$C$2:$C$46,MAX(1,MIN(44,IFERROR(MATCH(F117,'Earth curves'!$A$2:$A$46,1),1)))+1)-INDEX('Earth curves'!$C$2:$C$46,MAX(1,MIN(44,IFERROR(MATCH(F117,'Earth curves'!$A$2:$A$46,1),1)))))/(INDEX('Earth curves'!$A$2:$A$46,MAX(1,MIN(44,IFERROR(MATCH(F117,'Earth curves'!$A$2:$A$46,1),1)))+1)-INDEX('Earth curves'!$A$2:$A$46,MAX(1,MIN(44,IFERROR(MATCH(F117,'Earth curves'!$A$2:$A$46,1),1))))))</f>
        <v/>
      </c>
      <c r="S117" s="6">
        <f>MEDIAN(0.307692,Q117+MEDIAN(-0.350583,O117+NORMSINV(H117)*0.064828*Config!$B$3,0.120277),0.993846)</f>
        <v/>
      </c>
      <c r="T117" s="10">
        <f>ROUND(Config!$B$7+(Config!$B$8-Config!$B$7)*S117,1)</f>
        <v/>
      </c>
      <c r="U117" s="11" t="n"/>
      <c r="V117" s="10">
        <f>IF(U117="",T117,U117)</f>
        <v/>
      </c>
      <c r="W117" s="6">
        <f>MEDIAN(0.05,R117+MEDIAN(-0.302219,P117+NORMSINV(I117)*0.089531*Config!$B$3,0.274961),0.999)</f>
        <v/>
      </c>
      <c r="X117" s="6">
        <f>(INDEX('Earth curves'!$F$2:$F$46,MAX(1,MIN(44,IFERROR(MATCH(W117,'Earth curves'!$E$2:$E$46,1),1))))+(W117-INDEX('Earth curves'!$E$2:$E$46,MAX(1,MIN(44,IFERROR(MATCH(W117,'Earth curves'!$E$2:$E$46,1),1)))))*(INDEX('Earth curves'!$F$2:$F$46,MAX(1,MIN(44,IFERROR(MATCH(W117,'Earth curves'!$E$2:$E$46,1),1)))+1)-INDEX('Earth curves'!$F$2:$F$46,MAX(1,MIN(44,IFERROR(MATCH(W117,'Earth curves'!$E$2:$E$46,1),1)))))/(INDEX('Earth curves'!$E$2:$E$46,MAX(1,MIN(44,IFERROR(MATCH(W117,'Earth curves'!$E$2:$E$46,1),1)))+1)-INDEX('Earth curves'!$E$2:$E$46,MAX(1,MIN(44,IFERROR(MATCH(W117,'Earth curves'!$E$2:$E$46,1),1))))))</f>
        <v/>
      </c>
      <c r="Y117" s="6">
        <f>(INDEX('Earth curves'!$G$2:$G$46,MAX(1,MIN(44,IFERROR(MATCH(W117,'Earth curves'!$E$2:$E$46,1),1))))+(W117-INDEX('Earth curves'!$E$2:$E$46,MAX(1,MIN(44,IFERROR(MATCH(W117,'Earth curves'!$E$2:$E$46,1),1)))))*(INDEX('Earth curves'!$G$2:$G$46,MAX(1,MIN(44,IFERROR(MATCH(W117,'Earth curves'!$E$2:$E$46,1),1)))+1)-INDEX('Earth curves'!$G$2:$G$46,MAX(1,MIN(44,IFERROR(MATCH(W117,'Earth curves'!$E$2:$E$46,1),1)))))/(INDEX('Earth curves'!$E$2:$E$46,MAX(1,MIN(44,IFERROR(MATCH(W117,'Earth curves'!$E$2:$E$46,1),1)))+1)-INDEX('Earth curves'!$E$2:$E$46,MAX(1,MIN(44,IFERROR(MATCH(W117,'Earth curves'!$E$2:$E$46,1),1))))))</f>
        <v/>
      </c>
      <c r="Z117" s="6">
        <f>(MIN(X117/Config!$B$9,1)+MIN(Y117/Config!$B$10,1))/2</f>
        <v/>
      </c>
      <c r="AA117" s="10">
        <f>ROUND(MIN(22,MAX(3,X117*W117/Z117)),1)</f>
        <v/>
      </c>
      <c r="AB117" s="11" t="n"/>
      <c r="AC117" s="10">
        <f>IF(AB117="",AA117,AB117)</f>
        <v/>
      </c>
      <c r="AD117" s="10">
        <f>ROUND(MIN(Config!$B$10,MAX(1,Y117*W117/Z117)),1)</f>
        <v/>
      </c>
      <c r="AE117" s="11" t="n"/>
      <c r="AF117" s="10">
        <f>IF(AE117="",AD117,AE117)</f>
        <v/>
      </c>
      <c r="AG117" s="9">
        <f>(V117-Config!$B$7)/(Config!$B$8-Config!$B$7)</f>
        <v/>
      </c>
      <c r="AH117" s="9">
        <f>(MIN(AC117/Config!$B$9,1)+MIN(AF117/Config!$B$10,1))/2</f>
        <v/>
      </c>
      <c r="AI117" s="12">
        <f>ROUND((AG117*AH117*G117)^(1/3),3)</f>
        <v/>
      </c>
      <c r="AJ117" s="12" t="n">
        <v>0.8</v>
      </c>
      <c r="AK117" s="13">
        <f>AI117-AJ117</f>
        <v/>
      </c>
      <c r="AL117" s="13">
        <f>AK117-AVERAGE($AK$2:$AK$173)</f>
        <v/>
      </c>
      <c r="AM117" s="6">
        <f>IF(ABS(AL117)&gt;Config!$B$11,"REVIEW","")</f>
        <v/>
      </c>
      <c r="AN117" s="14">
        <f>RANK(AI117,$AI$2:$AI$173)</f>
        <v/>
      </c>
      <c r="AO117" s="14">
        <f>RANK(AJ117,$AJ$2:$AJ$173)</f>
        <v/>
      </c>
      <c r="AP117" s="14" t="n">
        <v>117</v>
      </c>
    </row>
    <row r="118">
      <c r="A118" s="6" t="inlineStr">
        <is>
          <t>Rijan bu</t>
        </is>
      </c>
      <c r="B118" s="6" t="inlineStr">
        <is>
          <t>Acrola</t>
        </is>
      </c>
      <c r="C118" s="6" t="inlineStr">
        <is>
          <t>—</t>
        </is>
      </c>
      <c r="D118" s="7" t="n">
        <v>103492</v>
      </c>
      <c r="E118" s="8">
        <f>D118*Config!$B$4</f>
        <v/>
      </c>
      <c r="F118" s="6">
        <f>LN(MAX(60,E118))</f>
        <v/>
      </c>
      <c r="G118" s="9">
        <f>MEDIAN(0,(F118-LN(Config!$B$5))/(LN(Config!$B$6)-LN(Config!$B$5)),1)</f>
        <v/>
      </c>
      <c r="H118" s="6">
        <f>MOD((Config!$B$2+$AP118*7919)*9301+49297,233280)/233280</f>
        <v/>
      </c>
      <c r="I118" s="6">
        <f>MOD((Config!$B$2+$AP118*104729)*4096+150889,714025)/714025</f>
        <v/>
      </c>
      <c r="J118" s="6">
        <f>MOD((Config!$B$2*31+$AP118*15485863)*1366+150889,714025)/714025</f>
        <v/>
      </c>
      <c r="K118" s="6" t="n">
        <v>-0.137273</v>
      </c>
      <c r="L118" s="6" t="n">
        <v>-0.029351</v>
      </c>
      <c r="M118" s="6">
        <f>COUNTIF(Siblings!$A$2:$A$84,B118)</f>
        <v/>
      </c>
      <c r="N118" s="6">
        <f>1+INT(J118*M118)</f>
        <v/>
      </c>
      <c r="O118" s="6">
        <f>IF(K118&lt;&gt;"",K118,IFERROR(INDEX(Siblings!$D$2:$D$84,MATCH(B118&amp;"|"&amp;N118,Siblings!$F$2:$F$84,0)),0))</f>
        <v/>
      </c>
      <c r="P118" s="6">
        <f>IF(L118&lt;&gt;"",L118,IFERROR(INDEX(Siblings!$E$2:$E$84,MATCH(B118&amp;"|"&amp;N118,Siblings!$F$2:$F$84,0)),0))</f>
        <v/>
      </c>
      <c r="Q118" s="6">
        <f>(INDEX('Earth curves'!$B$2:$B$46,MAX(1,MIN(44,IFERROR(MATCH(F118,'Earth curves'!$A$2:$A$46,1),1))))+(F118-INDEX('Earth curves'!$A$2:$A$46,MAX(1,MIN(44,IFERROR(MATCH(F118,'Earth curves'!$A$2:$A$46,1),1)))))*(INDEX('Earth curves'!$B$2:$B$46,MAX(1,MIN(44,IFERROR(MATCH(F118,'Earth curves'!$A$2:$A$46,1),1)))+1)-INDEX('Earth curves'!$B$2:$B$46,MAX(1,MIN(44,IFERROR(MATCH(F118,'Earth curves'!$A$2:$A$46,1),1)))))/(INDEX('Earth curves'!$A$2:$A$46,MAX(1,MIN(44,IFERROR(MATCH(F118,'Earth curves'!$A$2:$A$46,1),1)))+1)-INDEX('Earth curves'!$A$2:$A$46,MAX(1,MIN(44,IFERROR(MATCH(F118,'Earth curves'!$A$2:$A$46,1),1))))))</f>
        <v/>
      </c>
      <c r="R118" s="6">
        <f>(INDEX('Earth curves'!$C$2:$C$46,MAX(1,MIN(44,IFERROR(MATCH(F118,'Earth curves'!$A$2:$A$46,1),1))))+(F118-INDEX('Earth curves'!$A$2:$A$46,MAX(1,MIN(44,IFERROR(MATCH(F118,'Earth curves'!$A$2:$A$46,1),1)))))*(INDEX('Earth curves'!$C$2:$C$46,MAX(1,MIN(44,IFERROR(MATCH(F118,'Earth curves'!$A$2:$A$46,1),1)))+1)-INDEX('Earth curves'!$C$2:$C$46,MAX(1,MIN(44,IFERROR(MATCH(F118,'Earth curves'!$A$2:$A$46,1),1)))))/(INDEX('Earth curves'!$A$2:$A$46,MAX(1,MIN(44,IFERROR(MATCH(F118,'Earth curves'!$A$2:$A$46,1),1)))+1)-INDEX('Earth curves'!$A$2:$A$46,MAX(1,MIN(44,IFERROR(MATCH(F118,'Earth curves'!$A$2:$A$46,1),1))))))</f>
        <v/>
      </c>
      <c r="S118" s="6">
        <f>MEDIAN(0.307692,Q118+MEDIAN(-0.350583,O118+NORMSINV(H118)*0.064828*Config!$B$3,0.120277),0.993846)</f>
        <v/>
      </c>
      <c r="T118" s="10">
        <f>ROUND(Config!$B$7+(Config!$B$8-Config!$B$7)*S118,1)</f>
        <v/>
      </c>
      <c r="U118" s="11" t="n"/>
      <c r="V118" s="10">
        <f>IF(U118="",T118,U118)</f>
        <v/>
      </c>
      <c r="W118" s="6">
        <f>MEDIAN(0.05,R118+MEDIAN(-0.302219,P118+NORMSINV(I118)*0.089531*Config!$B$3,0.274961),0.999)</f>
        <v/>
      </c>
      <c r="X118" s="6">
        <f>(INDEX('Earth curves'!$F$2:$F$46,MAX(1,MIN(44,IFERROR(MATCH(W118,'Earth curves'!$E$2:$E$46,1),1))))+(W118-INDEX('Earth curves'!$E$2:$E$46,MAX(1,MIN(44,IFERROR(MATCH(W118,'Earth curves'!$E$2:$E$46,1),1)))))*(INDEX('Earth curves'!$F$2:$F$46,MAX(1,MIN(44,IFERROR(MATCH(W118,'Earth curves'!$E$2:$E$46,1),1)))+1)-INDEX('Earth curves'!$F$2:$F$46,MAX(1,MIN(44,IFERROR(MATCH(W118,'Earth curves'!$E$2:$E$46,1),1)))))/(INDEX('Earth curves'!$E$2:$E$46,MAX(1,MIN(44,IFERROR(MATCH(W118,'Earth curves'!$E$2:$E$46,1),1)))+1)-INDEX('Earth curves'!$E$2:$E$46,MAX(1,MIN(44,IFERROR(MATCH(W118,'Earth curves'!$E$2:$E$46,1),1))))))</f>
        <v/>
      </c>
      <c r="Y118" s="6">
        <f>(INDEX('Earth curves'!$G$2:$G$46,MAX(1,MIN(44,IFERROR(MATCH(W118,'Earth curves'!$E$2:$E$46,1),1))))+(W118-INDEX('Earth curves'!$E$2:$E$46,MAX(1,MIN(44,IFERROR(MATCH(W118,'Earth curves'!$E$2:$E$46,1),1)))))*(INDEX('Earth curves'!$G$2:$G$46,MAX(1,MIN(44,IFERROR(MATCH(W118,'Earth curves'!$E$2:$E$46,1),1)))+1)-INDEX('Earth curves'!$G$2:$G$46,MAX(1,MIN(44,IFERROR(MATCH(W118,'Earth curves'!$E$2:$E$46,1),1)))))/(INDEX('Earth curves'!$E$2:$E$46,MAX(1,MIN(44,IFERROR(MATCH(W118,'Earth curves'!$E$2:$E$46,1),1)))+1)-INDEX('Earth curves'!$E$2:$E$46,MAX(1,MIN(44,IFERROR(MATCH(W118,'Earth curves'!$E$2:$E$46,1),1))))))</f>
        <v/>
      </c>
      <c r="Z118" s="6">
        <f>(MIN(X118/Config!$B$9,1)+MIN(Y118/Config!$B$10,1))/2</f>
        <v/>
      </c>
      <c r="AA118" s="10">
        <f>ROUND(MIN(22,MAX(3,X118*W118/Z118)),1)</f>
        <v/>
      </c>
      <c r="AB118" s="11" t="n"/>
      <c r="AC118" s="10">
        <f>IF(AB118="",AA118,AB118)</f>
        <v/>
      </c>
      <c r="AD118" s="10">
        <f>ROUND(MIN(Config!$B$10,MAX(1,Y118*W118/Z118)),1)</f>
        <v/>
      </c>
      <c r="AE118" s="11" t="n"/>
      <c r="AF118" s="10">
        <f>IF(AE118="",AD118,AE118)</f>
        <v/>
      </c>
      <c r="AG118" s="9">
        <f>(V118-Config!$B$7)/(Config!$B$8-Config!$B$7)</f>
        <v/>
      </c>
      <c r="AH118" s="9">
        <f>(MIN(AC118/Config!$B$9,1)+MIN(AF118/Config!$B$10,1))/2</f>
        <v/>
      </c>
      <c r="AI118" s="12">
        <f>ROUND((AG118*AH118*G118)^(1/3),3)</f>
        <v/>
      </c>
      <c r="AJ118" s="12" t="n">
        <v>0.776</v>
      </c>
      <c r="AK118" s="13">
        <f>AI118-AJ118</f>
        <v/>
      </c>
      <c r="AL118" s="13">
        <f>AK118-AVERAGE($AK$2:$AK$173)</f>
        <v/>
      </c>
      <c r="AM118" s="6">
        <f>IF(ABS(AL118)&gt;Config!$B$11,"REVIEW","")</f>
        <v/>
      </c>
      <c r="AN118" s="14">
        <f>RANK(AI118,$AI$2:$AI$173)</f>
        <v/>
      </c>
      <c r="AO118" s="14">
        <f>RANK(AJ118,$AJ$2:$AJ$173)</f>
        <v/>
      </c>
      <c r="AP118" s="14" t="n">
        <v>118</v>
      </c>
    </row>
    <row r="119">
      <c r="A119" s="6" t="inlineStr">
        <is>
          <t>Rinew</t>
        </is>
      </c>
      <c r="B119" s="6" t="inlineStr">
        <is>
          <t>Acrola</t>
        </is>
      </c>
      <c r="C119" s="6" t="inlineStr">
        <is>
          <t>—</t>
        </is>
      </c>
      <c r="D119" s="7" t="n">
        <v>49206</v>
      </c>
      <c r="E119" s="8">
        <f>D119*Config!$B$4</f>
        <v/>
      </c>
      <c r="F119" s="6">
        <f>LN(MAX(60,E119))</f>
        <v/>
      </c>
      <c r="G119" s="9">
        <f>MEDIAN(0,(F119-LN(Config!$B$5))/(LN(Config!$B$6)-LN(Config!$B$5)),1)</f>
        <v/>
      </c>
      <c r="H119" s="6">
        <f>MOD((Config!$B$2+$AP119*7919)*9301+49297,233280)/233280</f>
        <v/>
      </c>
      <c r="I119" s="6">
        <f>MOD((Config!$B$2+$AP119*104729)*4096+150889,714025)/714025</f>
        <v/>
      </c>
      <c r="J119" s="6">
        <f>MOD((Config!$B$2*31+$AP119*15485863)*1366+150889,714025)/714025</f>
        <v/>
      </c>
      <c r="K119" s="6" t="n"/>
      <c r="L119" s="6" t="n"/>
      <c r="M119" s="6">
        <f>COUNTIF(Siblings!$A$2:$A$84,B119)</f>
        <v/>
      </c>
      <c r="N119" s="6">
        <f>1+INT(J119*M119)</f>
        <v/>
      </c>
      <c r="O119" s="6">
        <f>IF(K119&lt;&gt;"",K119,IFERROR(INDEX(Siblings!$D$2:$D$84,MATCH(B119&amp;"|"&amp;N119,Siblings!$F$2:$F$84,0)),0))</f>
        <v/>
      </c>
      <c r="P119" s="6">
        <f>IF(L119&lt;&gt;"",L119,IFERROR(INDEX(Siblings!$E$2:$E$84,MATCH(B119&amp;"|"&amp;N119,Siblings!$F$2:$F$84,0)),0))</f>
        <v/>
      </c>
      <c r="Q119" s="6">
        <f>(INDEX('Earth curves'!$B$2:$B$46,MAX(1,MIN(44,IFERROR(MATCH(F119,'Earth curves'!$A$2:$A$46,1),1))))+(F119-INDEX('Earth curves'!$A$2:$A$46,MAX(1,MIN(44,IFERROR(MATCH(F119,'Earth curves'!$A$2:$A$46,1),1)))))*(INDEX('Earth curves'!$B$2:$B$46,MAX(1,MIN(44,IFERROR(MATCH(F119,'Earth curves'!$A$2:$A$46,1),1)))+1)-INDEX('Earth curves'!$B$2:$B$46,MAX(1,MIN(44,IFERROR(MATCH(F119,'Earth curves'!$A$2:$A$46,1),1)))))/(INDEX('Earth curves'!$A$2:$A$46,MAX(1,MIN(44,IFERROR(MATCH(F119,'Earth curves'!$A$2:$A$46,1),1)))+1)-INDEX('Earth curves'!$A$2:$A$46,MAX(1,MIN(44,IFERROR(MATCH(F119,'Earth curves'!$A$2:$A$46,1),1))))))</f>
        <v/>
      </c>
      <c r="R119" s="6">
        <f>(INDEX('Earth curves'!$C$2:$C$46,MAX(1,MIN(44,IFERROR(MATCH(F119,'Earth curves'!$A$2:$A$46,1),1))))+(F119-INDEX('Earth curves'!$A$2:$A$46,MAX(1,MIN(44,IFERROR(MATCH(F119,'Earth curves'!$A$2:$A$46,1),1)))))*(INDEX('Earth curves'!$C$2:$C$46,MAX(1,MIN(44,IFERROR(MATCH(F119,'Earth curves'!$A$2:$A$46,1),1)))+1)-INDEX('Earth curves'!$C$2:$C$46,MAX(1,MIN(44,IFERROR(MATCH(F119,'Earth curves'!$A$2:$A$46,1),1)))))/(INDEX('Earth curves'!$A$2:$A$46,MAX(1,MIN(44,IFERROR(MATCH(F119,'Earth curves'!$A$2:$A$46,1),1)))+1)-INDEX('Earth curves'!$A$2:$A$46,MAX(1,MIN(44,IFERROR(MATCH(F119,'Earth curves'!$A$2:$A$46,1),1))))))</f>
        <v/>
      </c>
      <c r="S119" s="6">
        <f>MEDIAN(0.307692,Q119+MEDIAN(-0.350583,O119+NORMSINV(H119)*0.064828*Config!$B$3,0.120277),0.993846)</f>
        <v/>
      </c>
      <c r="T119" s="10">
        <f>ROUND(Config!$B$7+(Config!$B$8-Config!$B$7)*S119,1)</f>
        <v/>
      </c>
      <c r="U119" s="11" t="n"/>
      <c r="V119" s="10">
        <f>IF(U119="",T119,U119)</f>
        <v/>
      </c>
      <c r="W119" s="6">
        <f>MEDIAN(0.05,R119+MEDIAN(-0.302219,P119+NORMSINV(I119)*0.089531*Config!$B$3,0.274961),0.999)</f>
        <v/>
      </c>
      <c r="X119" s="6">
        <f>(INDEX('Earth curves'!$F$2:$F$46,MAX(1,MIN(44,IFERROR(MATCH(W119,'Earth curves'!$E$2:$E$46,1),1))))+(W119-INDEX('Earth curves'!$E$2:$E$46,MAX(1,MIN(44,IFERROR(MATCH(W119,'Earth curves'!$E$2:$E$46,1),1)))))*(INDEX('Earth curves'!$F$2:$F$46,MAX(1,MIN(44,IFERROR(MATCH(W119,'Earth curves'!$E$2:$E$46,1),1)))+1)-INDEX('Earth curves'!$F$2:$F$46,MAX(1,MIN(44,IFERROR(MATCH(W119,'Earth curves'!$E$2:$E$46,1),1)))))/(INDEX('Earth curves'!$E$2:$E$46,MAX(1,MIN(44,IFERROR(MATCH(W119,'Earth curves'!$E$2:$E$46,1),1)))+1)-INDEX('Earth curves'!$E$2:$E$46,MAX(1,MIN(44,IFERROR(MATCH(W119,'Earth curves'!$E$2:$E$46,1),1))))))</f>
        <v/>
      </c>
      <c r="Y119" s="6">
        <f>(INDEX('Earth curves'!$G$2:$G$46,MAX(1,MIN(44,IFERROR(MATCH(W119,'Earth curves'!$E$2:$E$46,1),1))))+(W119-INDEX('Earth curves'!$E$2:$E$46,MAX(1,MIN(44,IFERROR(MATCH(W119,'Earth curves'!$E$2:$E$46,1),1)))))*(INDEX('Earth curves'!$G$2:$G$46,MAX(1,MIN(44,IFERROR(MATCH(W119,'Earth curves'!$E$2:$E$46,1),1)))+1)-INDEX('Earth curves'!$G$2:$G$46,MAX(1,MIN(44,IFERROR(MATCH(W119,'Earth curves'!$E$2:$E$46,1),1)))))/(INDEX('Earth curves'!$E$2:$E$46,MAX(1,MIN(44,IFERROR(MATCH(W119,'Earth curves'!$E$2:$E$46,1),1)))+1)-INDEX('Earth curves'!$E$2:$E$46,MAX(1,MIN(44,IFERROR(MATCH(W119,'Earth curves'!$E$2:$E$46,1),1))))))</f>
        <v/>
      </c>
      <c r="Z119" s="6">
        <f>(MIN(X119/Config!$B$9,1)+MIN(Y119/Config!$B$10,1))/2</f>
        <v/>
      </c>
      <c r="AA119" s="10">
        <f>ROUND(MIN(22,MAX(3,X119*W119/Z119)),1)</f>
        <v/>
      </c>
      <c r="AB119" s="11" t="n"/>
      <c r="AC119" s="10">
        <f>IF(AB119="",AA119,AB119)</f>
        <v/>
      </c>
      <c r="AD119" s="10">
        <f>ROUND(MIN(Config!$B$10,MAX(1,Y119*W119/Z119)),1)</f>
        <v/>
      </c>
      <c r="AE119" s="11" t="n"/>
      <c r="AF119" s="10">
        <f>IF(AE119="",AD119,AE119)</f>
        <v/>
      </c>
      <c r="AG119" s="9">
        <f>(V119-Config!$B$7)/(Config!$B$8-Config!$B$7)</f>
        <v/>
      </c>
      <c r="AH119" s="9">
        <f>(MIN(AC119/Config!$B$9,1)+MIN(AF119/Config!$B$10,1))/2</f>
        <v/>
      </c>
      <c r="AI119" s="12">
        <f>ROUND((AG119*AH119*G119)^(1/3),3)</f>
        <v/>
      </c>
      <c r="AJ119" s="12" t="n">
        <v>0.703</v>
      </c>
      <c r="AK119" s="13">
        <f>AI119-AJ119</f>
        <v/>
      </c>
      <c r="AL119" s="13">
        <f>AK119-AVERAGE($AK$2:$AK$173)</f>
        <v/>
      </c>
      <c r="AM119" s="6">
        <f>IF(ABS(AL119)&gt;Config!$B$11,"REVIEW","")</f>
        <v/>
      </c>
      <c r="AN119" s="14">
        <f>RANK(AI119,$AI$2:$AI$173)</f>
        <v/>
      </c>
      <c r="AO119" s="14">
        <f>RANK(AJ119,$AJ$2:$AJ$173)</f>
        <v/>
      </c>
      <c r="AP119" s="14" t="n">
        <v>119</v>
      </c>
    </row>
    <row r="120">
      <c r="A120" s="6" t="inlineStr">
        <is>
          <t>Rkmepuia</t>
        </is>
      </c>
      <c r="B120" s="6" t="inlineStr">
        <is>
          <t>New Ayre</t>
        </is>
      </c>
      <c r="C120" s="6" t="inlineStr">
        <is>
          <t>—</t>
        </is>
      </c>
      <c r="D120" s="7" t="n">
        <v>20825</v>
      </c>
      <c r="E120" s="8">
        <f>D120*Config!$B$4</f>
        <v/>
      </c>
      <c r="F120" s="6">
        <f>LN(MAX(60,E120))</f>
        <v/>
      </c>
      <c r="G120" s="9">
        <f>MEDIAN(0,(F120-LN(Config!$B$5))/(LN(Config!$B$6)-LN(Config!$B$5)),1)</f>
        <v/>
      </c>
      <c r="H120" s="6">
        <f>MOD((Config!$B$2+$AP120*7919)*9301+49297,233280)/233280</f>
        <v/>
      </c>
      <c r="I120" s="6">
        <f>MOD((Config!$B$2+$AP120*104729)*4096+150889,714025)/714025</f>
        <v/>
      </c>
      <c r="J120" s="6">
        <f>MOD((Config!$B$2*31+$AP120*15485863)*1366+150889,714025)/714025</f>
        <v/>
      </c>
      <c r="K120" s="6" t="n"/>
      <c r="L120" s="6" t="n"/>
      <c r="M120" s="6">
        <f>COUNTIF(Siblings!$A$2:$A$84,B120)</f>
        <v/>
      </c>
      <c r="N120" s="6">
        <f>1+INT(J120*M120)</f>
        <v/>
      </c>
      <c r="O120" s="6">
        <f>IF(K120&lt;&gt;"",K120,IFERROR(INDEX(Siblings!$D$2:$D$84,MATCH(B120&amp;"|"&amp;N120,Siblings!$F$2:$F$84,0)),0))</f>
        <v/>
      </c>
      <c r="P120" s="6">
        <f>IF(L120&lt;&gt;"",L120,IFERROR(INDEX(Siblings!$E$2:$E$84,MATCH(B120&amp;"|"&amp;N120,Siblings!$F$2:$F$84,0)),0))</f>
        <v/>
      </c>
      <c r="Q120" s="6">
        <f>(INDEX('Earth curves'!$B$2:$B$46,MAX(1,MIN(44,IFERROR(MATCH(F120,'Earth curves'!$A$2:$A$46,1),1))))+(F120-INDEX('Earth curves'!$A$2:$A$46,MAX(1,MIN(44,IFERROR(MATCH(F120,'Earth curves'!$A$2:$A$46,1),1)))))*(INDEX('Earth curves'!$B$2:$B$46,MAX(1,MIN(44,IFERROR(MATCH(F120,'Earth curves'!$A$2:$A$46,1),1)))+1)-INDEX('Earth curves'!$B$2:$B$46,MAX(1,MIN(44,IFERROR(MATCH(F120,'Earth curves'!$A$2:$A$46,1),1)))))/(INDEX('Earth curves'!$A$2:$A$46,MAX(1,MIN(44,IFERROR(MATCH(F120,'Earth curves'!$A$2:$A$46,1),1)))+1)-INDEX('Earth curves'!$A$2:$A$46,MAX(1,MIN(44,IFERROR(MATCH(F120,'Earth curves'!$A$2:$A$46,1),1))))))</f>
        <v/>
      </c>
      <c r="R120" s="6">
        <f>(INDEX('Earth curves'!$C$2:$C$46,MAX(1,MIN(44,IFERROR(MATCH(F120,'Earth curves'!$A$2:$A$46,1),1))))+(F120-INDEX('Earth curves'!$A$2:$A$46,MAX(1,MIN(44,IFERROR(MATCH(F120,'Earth curves'!$A$2:$A$46,1),1)))))*(INDEX('Earth curves'!$C$2:$C$46,MAX(1,MIN(44,IFERROR(MATCH(F120,'Earth curves'!$A$2:$A$46,1),1)))+1)-INDEX('Earth curves'!$C$2:$C$46,MAX(1,MIN(44,IFERROR(MATCH(F120,'Earth curves'!$A$2:$A$46,1),1)))))/(INDEX('Earth curves'!$A$2:$A$46,MAX(1,MIN(44,IFERROR(MATCH(F120,'Earth curves'!$A$2:$A$46,1),1)))+1)-INDEX('Earth curves'!$A$2:$A$46,MAX(1,MIN(44,IFERROR(MATCH(F120,'Earth curves'!$A$2:$A$46,1),1))))))</f>
        <v/>
      </c>
      <c r="S120" s="6">
        <f>MEDIAN(0.307692,Q120+MEDIAN(-0.350583,O120+NORMSINV(H120)*0.064828*Config!$B$3,0.120277),0.993846)</f>
        <v/>
      </c>
      <c r="T120" s="10">
        <f>ROUND(Config!$B$7+(Config!$B$8-Config!$B$7)*S120,1)</f>
        <v/>
      </c>
      <c r="U120" s="11" t="n"/>
      <c r="V120" s="10">
        <f>IF(U120="",T120,U120)</f>
        <v/>
      </c>
      <c r="W120" s="6">
        <f>MEDIAN(0.05,R120+MEDIAN(-0.302219,P120+NORMSINV(I120)*0.089531*Config!$B$3,0.274961),0.999)</f>
        <v/>
      </c>
      <c r="X120" s="6">
        <f>(INDEX('Earth curves'!$F$2:$F$46,MAX(1,MIN(44,IFERROR(MATCH(W120,'Earth curves'!$E$2:$E$46,1),1))))+(W120-INDEX('Earth curves'!$E$2:$E$46,MAX(1,MIN(44,IFERROR(MATCH(W120,'Earth curves'!$E$2:$E$46,1),1)))))*(INDEX('Earth curves'!$F$2:$F$46,MAX(1,MIN(44,IFERROR(MATCH(W120,'Earth curves'!$E$2:$E$46,1),1)))+1)-INDEX('Earth curves'!$F$2:$F$46,MAX(1,MIN(44,IFERROR(MATCH(W120,'Earth curves'!$E$2:$E$46,1),1)))))/(INDEX('Earth curves'!$E$2:$E$46,MAX(1,MIN(44,IFERROR(MATCH(W120,'Earth curves'!$E$2:$E$46,1),1)))+1)-INDEX('Earth curves'!$E$2:$E$46,MAX(1,MIN(44,IFERROR(MATCH(W120,'Earth curves'!$E$2:$E$46,1),1))))))</f>
        <v/>
      </c>
      <c r="Y120" s="6">
        <f>(INDEX('Earth curves'!$G$2:$G$46,MAX(1,MIN(44,IFERROR(MATCH(W120,'Earth curves'!$E$2:$E$46,1),1))))+(W120-INDEX('Earth curves'!$E$2:$E$46,MAX(1,MIN(44,IFERROR(MATCH(W120,'Earth curves'!$E$2:$E$46,1),1)))))*(INDEX('Earth curves'!$G$2:$G$46,MAX(1,MIN(44,IFERROR(MATCH(W120,'Earth curves'!$E$2:$E$46,1),1)))+1)-INDEX('Earth curves'!$G$2:$G$46,MAX(1,MIN(44,IFERROR(MATCH(W120,'Earth curves'!$E$2:$E$46,1),1)))))/(INDEX('Earth curves'!$E$2:$E$46,MAX(1,MIN(44,IFERROR(MATCH(W120,'Earth curves'!$E$2:$E$46,1),1)))+1)-INDEX('Earth curves'!$E$2:$E$46,MAX(1,MIN(44,IFERROR(MATCH(W120,'Earth curves'!$E$2:$E$46,1),1))))))</f>
        <v/>
      </c>
      <c r="Z120" s="6">
        <f>(MIN(X120/Config!$B$9,1)+MIN(Y120/Config!$B$10,1))/2</f>
        <v/>
      </c>
      <c r="AA120" s="10">
        <f>ROUND(MIN(22,MAX(3,X120*W120/Z120)),1)</f>
        <v/>
      </c>
      <c r="AB120" s="11" t="n"/>
      <c r="AC120" s="10">
        <f>IF(AB120="",AA120,AB120)</f>
        <v/>
      </c>
      <c r="AD120" s="10">
        <f>ROUND(MIN(Config!$B$10,MAX(1,Y120*W120/Z120)),1)</f>
        <v/>
      </c>
      <c r="AE120" s="11" t="n"/>
      <c r="AF120" s="10">
        <f>IF(AE120="",AD120,AE120)</f>
        <v/>
      </c>
      <c r="AG120" s="9">
        <f>(V120-Config!$B$7)/(Config!$B$8-Config!$B$7)</f>
        <v/>
      </c>
      <c r="AH120" s="9">
        <f>(MIN(AC120/Config!$B$9,1)+MIN(AF120/Config!$B$10,1))/2</f>
        <v/>
      </c>
      <c r="AI120" s="12">
        <f>ROUND((AG120*AH120*G120)^(1/3),3)</f>
        <v/>
      </c>
      <c r="AJ120" s="12" t="n">
        <v>0.754</v>
      </c>
      <c r="AK120" s="13">
        <f>AI120-AJ120</f>
        <v/>
      </c>
      <c r="AL120" s="13">
        <f>AK120-AVERAGE($AK$2:$AK$173)</f>
        <v/>
      </c>
      <c r="AM120" s="6">
        <f>IF(ABS(AL120)&gt;Config!$B$11,"REVIEW","")</f>
        <v/>
      </c>
      <c r="AN120" s="14">
        <f>RANK(AI120,$AI$2:$AI$173)</f>
        <v/>
      </c>
      <c r="AO120" s="14">
        <f>RANK(AJ120,$AJ$2:$AJ$173)</f>
        <v/>
      </c>
      <c r="AP120" s="14" t="n">
        <v>120</v>
      </c>
    </row>
    <row r="121">
      <c r="A121" s="6" t="inlineStr">
        <is>
          <t>Rtesania</t>
        </is>
      </c>
      <c r="B121" s="6" t="inlineStr">
        <is>
          <t>Mahea</t>
        </is>
      </c>
      <c r="C121" s="6" t="inlineStr">
        <is>
          <t>—</t>
        </is>
      </c>
      <c r="D121" s="7" t="n">
        <v>7111</v>
      </c>
      <c r="E121" s="8">
        <f>D121*Config!$B$4</f>
        <v/>
      </c>
      <c r="F121" s="6">
        <f>LN(MAX(60,E121))</f>
        <v/>
      </c>
      <c r="G121" s="9">
        <f>MEDIAN(0,(F121-LN(Config!$B$5))/(LN(Config!$B$6)-LN(Config!$B$5)),1)</f>
        <v/>
      </c>
      <c r="H121" s="6">
        <f>MOD((Config!$B$2+$AP121*7919)*9301+49297,233280)/233280</f>
        <v/>
      </c>
      <c r="I121" s="6">
        <f>MOD((Config!$B$2+$AP121*104729)*4096+150889,714025)/714025</f>
        <v/>
      </c>
      <c r="J121" s="6">
        <f>MOD((Config!$B$2*31+$AP121*15485863)*1366+150889,714025)/714025</f>
        <v/>
      </c>
      <c r="K121" s="6" t="n"/>
      <c r="L121" s="6" t="n"/>
      <c r="M121" s="6">
        <f>COUNTIF(Siblings!$A$2:$A$84,B121)</f>
        <v/>
      </c>
      <c r="N121" s="6">
        <f>1+INT(J121*M121)</f>
        <v/>
      </c>
      <c r="O121" s="6">
        <f>IF(K121&lt;&gt;"",K121,IFERROR(INDEX(Siblings!$D$2:$D$84,MATCH(B121&amp;"|"&amp;N121,Siblings!$F$2:$F$84,0)),0))</f>
        <v/>
      </c>
      <c r="P121" s="6">
        <f>IF(L121&lt;&gt;"",L121,IFERROR(INDEX(Siblings!$E$2:$E$84,MATCH(B121&amp;"|"&amp;N121,Siblings!$F$2:$F$84,0)),0))</f>
        <v/>
      </c>
      <c r="Q121" s="6">
        <f>(INDEX('Earth curves'!$B$2:$B$46,MAX(1,MIN(44,IFERROR(MATCH(F121,'Earth curves'!$A$2:$A$46,1),1))))+(F121-INDEX('Earth curves'!$A$2:$A$46,MAX(1,MIN(44,IFERROR(MATCH(F121,'Earth curves'!$A$2:$A$46,1),1)))))*(INDEX('Earth curves'!$B$2:$B$46,MAX(1,MIN(44,IFERROR(MATCH(F121,'Earth curves'!$A$2:$A$46,1),1)))+1)-INDEX('Earth curves'!$B$2:$B$46,MAX(1,MIN(44,IFERROR(MATCH(F121,'Earth curves'!$A$2:$A$46,1),1)))))/(INDEX('Earth curves'!$A$2:$A$46,MAX(1,MIN(44,IFERROR(MATCH(F121,'Earth curves'!$A$2:$A$46,1),1)))+1)-INDEX('Earth curves'!$A$2:$A$46,MAX(1,MIN(44,IFERROR(MATCH(F121,'Earth curves'!$A$2:$A$46,1),1))))))</f>
        <v/>
      </c>
      <c r="R121" s="6">
        <f>(INDEX('Earth curves'!$C$2:$C$46,MAX(1,MIN(44,IFERROR(MATCH(F121,'Earth curves'!$A$2:$A$46,1),1))))+(F121-INDEX('Earth curves'!$A$2:$A$46,MAX(1,MIN(44,IFERROR(MATCH(F121,'Earth curves'!$A$2:$A$46,1),1)))))*(INDEX('Earth curves'!$C$2:$C$46,MAX(1,MIN(44,IFERROR(MATCH(F121,'Earth curves'!$A$2:$A$46,1),1)))+1)-INDEX('Earth curves'!$C$2:$C$46,MAX(1,MIN(44,IFERROR(MATCH(F121,'Earth curves'!$A$2:$A$46,1),1)))))/(INDEX('Earth curves'!$A$2:$A$46,MAX(1,MIN(44,IFERROR(MATCH(F121,'Earth curves'!$A$2:$A$46,1),1)))+1)-INDEX('Earth curves'!$A$2:$A$46,MAX(1,MIN(44,IFERROR(MATCH(F121,'Earth curves'!$A$2:$A$46,1),1))))))</f>
        <v/>
      </c>
      <c r="S121" s="6">
        <f>MEDIAN(0.307692,Q121+MEDIAN(-0.350583,O121+NORMSINV(H121)*0.064828*Config!$B$3,0.120277),0.993846)</f>
        <v/>
      </c>
      <c r="T121" s="10">
        <f>ROUND(Config!$B$7+(Config!$B$8-Config!$B$7)*S121,1)</f>
        <v/>
      </c>
      <c r="U121" s="11" t="n"/>
      <c r="V121" s="10">
        <f>IF(U121="",T121,U121)</f>
        <v/>
      </c>
      <c r="W121" s="6">
        <f>MEDIAN(0.05,R121+MEDIAN(-0.302219,P121+NORMSINV(I121)*0.089531*Config!$B$3,0.274961),0.999)</f>
        <v/>
      </c>
      <c r="X121" s="6">
        <f>(INDEX('Earth curves'!$F$2:$F$46,MAX(1,MIN(44,IFERROR(MATCH(W121,'Earth curves'!$E$2:$E$46,1),1))))+(W121-INDEX('Earth curves'!$E$2:$E$46,MAX(1,MIN(44,IFERROR(MATCH(W121,'Earth curves'!$E$2:$E$46,1),1)))))*(INDEX('Earth curves'!$F$2:$F$46,MAX(1,MIN(44,IFERROR(MATCH(W121,'Earth curves'!$E$2:$E$46,1),1)))+1)-INDEX('Earth curves'!$F$2:$F$46,MAX(1,MIN(44,IFERROR(MATCH(W121,'Earth curves'!$E$2:$E$46,1),1)))))/(INDEX('Earth curves'!$E$2:$E$46,MAX(1,MIN(44,IFERROR(MATCH(W121,'Earth curves'!$E$2:$E$46,1),1)))+1)-INDEX('Earth curves'!$E$2:$E$46,MAX(1,MIN(44,IFERROR(MATCH(W121,'Earth curves'!$E$2:$E$46,1),1))))))</f>
        <v/>
      </c>
      <c r="Y121" s="6">
        <f>(INDEX('Earth curves'!$G$2:$G$46,MAX(1,MIN(44,IFERROR(MATCH(W121,'Earth curves'!$E$2:$E$46,1),1))))+(W121-INDEX('Earth curves'!$E$2:$E$46,MAX(1,MIN(44,IFERROR(MATCH(W121,'Earth curves'!$E$2:$E$46,1),1)))))*(INDEX('Earth curves'!$G$2:$G$46,MAX(1,MIN(44,IFERROR(MATCH(W121,'Earth curves'!$E$2:$E$46,1),1)))+1)-INDEX('Earth curves'!$G$2:$G$46,MAX(1,MIN(44,IFERROR(MATCH(W121,'Earth curves'!$E$2:$E$46,1),1)))))/(INDEX('Earth curves'!$E$2:$E$46,MAX(1,MIN(44,IFERROR(MATCH(W121,'Earth curves'!$E$2:$E$46,1),1)))+1)-INDEX('Earth curves'!$E$2:$E$46,MAX(1,MIN(44,IFERROR(MATCH(W121,'Earth curves'!$E$2:$E$46,1),1))))))</f>
        <v/>
      </c>
      <c r="Z121" s="6">
        <f>(MIN(X121/Config!$B$9,1)+MIN(Y121/Config!$B$10,1))/2</f>
        <v/>
      </c>
      <c r="AA121" s="10">
        <f>ROUND(MIN(22,MAX(3,X121*W121/Z121)),1)</f>
        <v/>
      </c>
      <c r="AB121" s="11" t="n"/>
      <c r="AC121" s="10">
        <f>IF(AB121="",AA121,AB121)</f>
        <v/>
      </c>
      <c r="AD121" s="10">
        <f>ROUND(MIN(Config!$B$10,MAX(1,Y121*W121/Z121)),1)</f>
        <v/>
      </c>
      <c r="AE121" s="11" t="n"/>
      <c r="AF121" s="10">
        <f>IF(AE121="",AD121,AE121)</f>
        <v/>
      </c>
      <c r="AG121" s="9">
        <f>(V121-Config!$B$7)/(Config!$B$8-Config!$B$7)</f>
        <v/>
      </c>
      <c r="AH121" s="9">
        <f>(MIN(AC121/Config!$B$9,1)+MIN(AF121/Config!$B$10,1))/2</f>
        <v/>
      </c>
      <c r="AI121" s="12">
        <f>ROUND((AG121*AH121*G121)^(1/3),3)</f>
        <v/>
      </c>
      <c r="AJ121" s="12" t="n">
        <v>0.628</v>
      </c>
      <c r="AK121" s="13">
        <f>AI121-AJ121</f>
        <v/>
      </c>
      <c r="AL121" s="13">
        <f>AK121-AVERAGE($AK$2:$AK$173)</f>
        <v/>
      </c>
      <c r="AM121" s="6">
        <f>IF(ABS(AL121)&gt;Config!$B$11,"REVIEW","")</f>
        <v/>
      </c>
      <c r="AN121" s="14">
        <f>RANK(AI121,$AI$2:$AI$173)</f>
        <v/>
      </c>
      <c r="AO121" s="14">
        <f>RANK(AJ121,$AJ$2:$AJ$173)</f>
        <v/>
      </c>
      <c r="AP121" s="14" t="n">
        <v>121</v>
      </c>
    </row>
    <row r="122">
      <c r="A122" s="6" t="inlineStr">
        <is>
          <t>Ruylku</t>
        </is>
      </c>
      <c r="B122" s="6" t="inlineStr">
        <is>
          <t>Massir</t>
        </is>
      </c>
      <c r="C122" s="6" t="inlineStr">
        <is>
          <t>—</t>
        </is>
      </c>
      <c r="D122" s="7" t="n">
        <v>21302</v>
      </c>
      <c r="E122" s="8">
        <f>D122*Config!$B$4</f>
        <v/>
      </c>
      <c r="F122" s="6">
        <f>LN(MAX(60,E122))</f>
        <v/>
      </c>
      <c r="G122" s="9">
        <f>MEDIAN(0,(F122-LN(Config!$B$5))/(LN(Config!$B$6)-LN(Config!$B$5)),1)</f>
        <v/>
      </c>
      <c r="H122" s="6">
        <f>MOD((Config!$B$2+$AP122*7919)*9301+49297,233280)/233280</f>
        <v/>
      </c>
      <c r="I122" s="6">
        <f>MOD((Config!$B$2+$AP122*104729)*4096+150889,714025)/714025</f>
        <v/>
      </c>
      <c r="J122" s="6">
        <f>MOD((Config!$B$2*31+$AP122*15485863)*1366+150889,714025)/714025</f>
        <v/>
      </c>
      <c r="K122" s="6" t="n">
        <v>-0.06232</v>
      </c>
      <c r="L122" s="6" t="n">
        <v>0.06365899999999999</v>
      </c>
      <c r="M122" s="6">
        <f>COUNTIF(Siblings!$A$2:$A$84,B122)</f>
        <v/>
      </c>
      <c r="N122" s="6">
        <f>1+INT(J122*M122)</f>
        <v/>
      </c>
      <c r="O122" s="6">
        <f>IF(K122&lt;&gt;"",K122,IFERROR(INDEX(Siblings!$D$2:$D$84,MATCH(B122&amp;"|"&amp;N122,Siblings!$F$2:$F$84,0)),0))</f>
        <v/>
      </c>
      <c r="P122" s="6">
        <f>IF(L122&lt;&gt;"",L122,IFERROR(INDEX(Siblings!$E$2:$E$84,MATCH(B122&amp;"|"&amp;N122,Siblings!$F$2:$F$84,0)),0))</f>
        <v/>
      </c>
      <c r="Q122" s="6">
        <f>(INDEX('Earth curves'!$B$2:$B$46,MAX(1,MIN(44,IFERROR(MATCH(F122,'Earth curves'!$A$2:$A$46,1),1))))+(F122-INDEX('Earth curves'!$A$2:$A$46,MAX(1,MIN(44,IFERROR(MATCH(F122,'Earth curves'!$A$2:$A$46,1),1)))))*(INDEX('Earth curves'!$B$2:$B$46,MAX(1,MIN(44,IFERROR(MATCH(F122,'Earth curves'!$A$2:$A$46,1),1)))+1)-INDEX('Earth curves'!$B$2:$B$46,MAX(1,MIN(44,IFERROR(MATCH(F122,'Earth curves'!$A$2:$A$46,1),1)))))/(INDEX('Earth curves'!$A$2:$A$46,MAX(1,MIN(44,IFERROR(MATCH(F122,'Earth curves'!$A$2:$A$46,1),1)))+1)-INDEX('Earth curves'!$A$2:$A$46,MAX(1,MIN(44,IFERROR(MATCH(F122,'Earth curves'!$A$2:$A$46,1),1))))))</f>
        <v/>
      </c>
      <c r="R122" s="6">
        <f>(INDEX('Earth curves'!$C$2:$C$46,MAX(1,MIN(44,IFERROR(MATCH(F122,'Earth curves'!$A$2:$A$46,1),1))))+(F122-INDEX('Earth curves'!$A$2:$A$46,MAX(1,MIN(44,IFERROR(MATCH(F122,'Earth curves'!$A$2:$A$46,1),1)))))*(INDEX('Earth curves'!$C$2:$C$46,MAX(1,MIN(44,IFERROR(MATCH(F122,'Earth curves'!$A$2:$A$46,1),1)))+1)-INDEX('Earth curves'!$C$2:$C$46,MAX(1,MIN(44,IFERROR(MATCH(F122,'Earth curves'!$A$2:$A$46,1),1)))))/(INDEX('Earth curves'!$A$2:$A$46,MAX(1,MIN(44,IFERROR(MATCH(F122,'Earth curves'!$A$2:$A$46,1),1)))+1)-INDEX('Earth curves'!$A$2:$A$46,MAX(1,MIN(44,IFERROR(MATCH(F122,'Earth curves'!$A$2:$A$46,1),1))))))</f>
        <v/>
      </c>
      <c r="S122" s="6">
        <f>MEDIAN(0.307692,Q122+MEDIAN(-0.350583,O122+NORMSINV(H122)*0.064828*Config!$B$3,0.120277),0.993846)</f>
        <v/>
      </c>
      <c r="T122" s="10">
        <f>ROUND(Config!$B$7+(Config!$B$8-Config!$B$7)*S122,1)</f>
        <v/>
      </c>
      <c r="U122" s="11" t="n"/>
      <c r="V122" s="10">
        <f>IF(U122="",T122,U122)</f>
        <v/>
      </c>
      <c r="W122" s="6">
        <f>MEDIAN(0.05,R122+MEDIAN(-0.302219,P122+NORMSINV(I122)*0.089531*Config!$B$3,0.274961),0.999)</f>
        <v/>
      </c>
      <c r="X122" s="6">
        <f>(INDEX('Earth curves'!$F$2:$F$46,MAX(1,MIN(44,IFERROR(MATCH(W122,'Earth curves'!$E$2:$E$46,1),1))))+(W122-INDEX('Earth curves'!$E$2:$E$46,MAX(1,MIN(44,IFERROR(MATCH(W122,'Earth curves'!$E$2:$E$46,1),1)))))*(INDEX('Earth curves'!$F$2:$F$46,MAX(1,MIN(44,IFERROR(MATCH(W122,'Earth curves'!$E$2:$E$46,1),1)))+1)-INDEX('Earth curves'!$F$2:$F$46,MAX(1,MIN(44,IFERROR(MATCH(W122,'Earth curves'!$E$2:$E$46,1),1)))))/(INDEX('Earth curves'!$E$2:$E$46,MAX(1,MIN(44,IFERROR(MATCH(W122,'Earth curves'!$E$2:$E$46,1),1)))+1)-INDEX('Earth curves'!$E$2:$E$46,MAX(1,MIN(44,IFERROR(MATCH(W122,'Earth curves'!$E$2:$E$46,1),1))))))</f>
        <v/>
      </c>
      <c r="Y122" s="6">
        <f>(INDEX('Earth curves'!$G$2:$G$46,MAX(1,MIN(44,IFERROR(MATCH(W122,'Earth curves'!$E$2:$E$46,1),1))))+(W122-INDEX('Earth curves'!$E$2:$E$46,MAX(1,MIN(44,IFERROR(MATCH(W122,'Earth curves'!$E$2:$E$46,1),1)))))*(INDEX('Earth curves'!$G$2:$G$46,MAX(1,MIN(44,IFERROR(MATCH(W122,'Earth curves'!$E$2:$E$46,1),1)))+1)-INDEX('Earth curves'!$G$2:$G$46,MAX(1,MIN(44,IFERROR(MATCH(W122,'Earth curves'!$E$2:$E$46,1),1)))))/(INDEX('Earth curves'!$E$2:$E$46,MAX(1,MIN(44,IFERROR(MATCH(W122,'Earth curves'!$E$2:$E$46,1),1)))+1)-INDEX('Earth curves'!$E$2:$E$46,MAX(1,MIN(44,IFERROR(MATCH(W122,'Earth curves'!$E$2:$E$46,1),1))))))</f>
        <v/>
      </c>
      <c r="Z122" s="6">
        <f>(MIN(X122/Config!$B$9,1)+MIN(Y122/Config!$B$10,1))/2</f>
        <v/>
      </c>
      <c r="AA122" s="10">
        <f>ROUND(MIN(22,MAX(3,X122*W122/Z122)),1)</f>
        <v/>
      </c>
      <c r="AB122" s="11" t="n"/>
      <c r="AC122" s="10">
        <f>IF(AB122="",AA122,AB122)</f>
        <v/>
      </c>
      <c r="AD122" s="10">
        <f>ROUND(MIN(Config!$B$10,MAX(1,Y122*W122/Z122)),1)</f>
        <v/>
      </c>
      <c r="AE122" s="11" t="n"/>
      <c r="AF122" s="10">
        <f>IF(AE122="",AD122,AE122)</f>
        <v/>
      </c>
      <c r="AG122" s="9">
        <f>(V122-Config!$B$7)/(Config!$B$8-Config!$B$7)</f>
        <v/>
      </c>
      <c r="AH122" s="9">
        <f>(MIN(AC122/Config!$B$9,1)+MIN(AF122/Config!$B$10,1))/2</f>
        <v/>
      </c>
      <c r="AI122" s="12">
        <f>ROUND((AG122*AH122*G122)^(1/3),3)</f>
        <v/>
      </c>
      <c r="AJ122" s="12" t="n">
        <v>0.657</v>
      </c>
      <c r="AK122" s="13">
        <f>AI122-AJ122</f>
        <v/>
      </c>
      <c r="AL122" s="13">
        <f>AK122-AVERAGE($AK$2:$AK$173)</f>
        <v/>
      </c>
      <c r="AM122" s="6">
        <f>IF(ABS(AL122)&gt;Config!$B$11,"REVIEW","")</f>
        <v/>
      </c>
      <c r="AN122" s="14">
        <f>RANK(AI122,$AI$2:$AI$173)</f>
        <v/>
      </c>
      <c r="AO122" s="14">
        <f>RANK(AJ122,$AJ$2:$AJ$173)</f>
        <v/>
      </c>
      <c r="AP122" s="14" t="n">
        <v>122</v>
      </c>
    </row>
    <row r="123">
      <c r="A123" s="6" t="inlineStr">
        <is>
          <t>Saa</t>
        </is>
      </c>
      <c r="B123" s="6" t="inlineStr">
        <is>
          <t>Acrola</t>
        </is>
      </c>
      <c r="C123" s="6" t="inlineStr">
        <is>
          <t>—</t>
        </is>
      </c>
      <c r="D123" s="7" t="n">
        <v>15238</v>
      </c>
      <c r="E123" s="8">
        <f>D123*Config!$B$4</f>
        <v/>
      </c>
      <c r="F123" s="6">
        <f>LN(MAX(60,E123))</f>
        <v/>
      </c>
      <c r="G123" s="9">
        <f>MEDIAN(0,(F123-LN(Config!$B$5))/(LN(Config!$B$6)-LN(Config!$B$5)),1)</f>
        <v/>
      </c>
      <c r="H123" s="6">
        <f>MOD((Config!$B$2+$AP123*7919)*9301+49297,233280)/233280</f>
        <v/>
      </c>
      <c r="I123" s="6">
        <f>MOD((Config!$B$2+$AP123*104729)*4096+150889,714025)/714025</f>
        <v/>
      </c>
      <c r="J123" s="6">
        <f>MOD((Config!$B$2*31+$AP123*15485863)*1366+150889,714025)/714025</f>
        <v/>
      </c>
      <c r="K123" s="6" t="n"/>
      <c r="L123" s="6" t="n"/>
      <c r="M123" s="6">
        <f>COUNTIF(Siblings!$A$2:$A$84,B123)</f>
        <v/>
      </c>
      <c r="N123" s="6">
        <f>1+INT(J123*M123)</f>
        <v/>
      </c>
      <c r="O123" s="6">
        <f>IF(K123&lt;&gt;"",K123,IFERROR(INDEX(Siblings!$D$2:$D$84,MATCH(B123&amp;"|"&amp;N123,Siblings!$F$2:$F$84,0)),0))</f>
        <v/>
      </c>
      <c r="P123" s="6">
        <f>IF(L123&lt;&gt;"",L123,IFERROR(INDEX(Siblings!$E$2:$E$84,MATCH(B123&amp;"|"&amp;N123,Siblings!$F$2:$F$84,0)),0))</f>
        <v/>
      </c>
      <c r="Q123" s="6">
        <f>(INDEX('Earth curves'!$B$2:$B$46,MAX(1,MIN(44,IFERROR(MATCH(F123,'Earth curves'!$A$2:$A$46,1),1))))+(F123-INDEX('Earth curves'!$A$2:$A$46,MAX(1,MIN(44,IFERROR(MATCH(F123,'Earth curves'!$A$2:$A$46,1),1)))))*(INDEX('Earth curves'!$B$2:$B$46,MAX(1,MIN(44,IFERROR(MATCH(F123,'Earth curves'!$A$2:$A$46,1),1)))+1)-INDEX('Earth curves'!$B$2:$B$46,MAX(1,MIN(44,IFERROR(MATCH(F123,'Earth curves'!$A$2:$A$46,1),1)))))/(INDEX('Earth curves'!$A$2:$A$46,MAX(1,MIN(44,IFERROR(MATCH(F123,'Earth curves'!$A$2:$A$46,1),1)))+1)-INDEX('Earth curves'!$A$2:$A$46,MAX(1,MIN(44,IFERROR(MATCH(F123,'Earth curves'!$A$2:$A$46,1),1))))))</f>
        <v/>
      </c>
      <c r="R123" s="6">
        <f>(INDEX('Earth curves'!$C$2:$C$46,MAX(1,MIN(44,IFERROR(MATCH(F123,'Earth curves'!$A$2:$A$46,1),1))))+(F123-INDEX('Earth curves'!$A$2:$A$46,MAX(1,MIN(44,IFERROR(MATCH(F123,'Earth curves'!$A$2:$A$46,1),1)))))*(INDEX('Earth curves'!$C$2:$C$46,MAX(1,MIN(44,IFERROR(MATCH(F123,'Earth curves'!$A$2:$A$46,1),1)))+1)-INDEX('Earth curves'!$C$2:$C$46,MAX(1,MIN(44,IFERROR(MATCH(F123,'Earth curves'!$A$2:$A$46,1),1)))))/(INDEX('Earth curves'!$A$2:$A$46,MAX(1,MIN(44,IFERROR(MATCH(F123,'Earth curves'!$A$2:$A$46,1),1)))+1)-INDEX('Earth curves'!$A$2:$A$46,MAX(1,MIN(44,IFERROR(MATCH(F123,'Earth curves'!$A$2:$A$46,1),1))))))</f>
        <v/>
      </c>
      <c r="S123" s="6">
        <f>MEDIAN(0.307692,Q123+MEDIAN(-0.350583,O123+NORMSINV(H123)*0.064828*Config!$B$3,0.120277),0.993846)</f>
        <v/>
      </c>
      <c r="T123" s="10">
        <f>ROUND(Config!$B$7+(Config!$B$8-Config!$B$7)*S123,1)</f>
        <v/>
      </c>
      <c r="U123" s="11" t="n"/>
      <c r="V123" s="10">
        <f>IF(U123="",T123,U123)</f>
        <v/>
      </c>
      <c r="W123" s="6">
        <f>MEDIAN(0.05,R123+MEDIAN(-0.302219,P123+NORMSINV(I123)*0.089531*Config!$B$3,0.274961),0.999)</f>
        <v/>
      </c>
      <c r="X123" s="6">
        <f>(INDEX('Earth curves'!$F$2:$F$46,MAX(1,MIN(44,IFERROR(MATCH(W123,'Earth curves'!$E$2:$E$46,1),1))))+(W123-INDEX('Earth curves'!$E$2:$E$46,MAX(1,MIN(44,IFERROR(MATCH(W123,'Earth curves'!$E$2:$E$46,1),1)))))*(INDEX('Earth curves'!$F$2:$F$46,MAX(1,MIN(44,IFERROR(MATCH(W123,'Earth curves'!$E$2:$E$46,1),1)))+1)-INDEX('Earth curves'!$F$2:$F$46,MAX(1,MIN(44,IFERROR(MATCH(W123,'Earth curves'!$E$2:$E$46,1),1)))))/(INDEX('Earth curves'!$E$2:$E$46,MAX(1,MIN(44,IFERROR(MATCH(W123,'Earth curves'!$E$2:$E$46,1),1)))+1)-INDEX('Earth curves'!$E$2:$E$46,MAX(1,MIN(44,IFERROR(MATCH(W123,'Earth curves'!$E$2:$E$46,1),1))))))</f>
        <v/>
      </c>
      <c r="Y123" s="6">
        <f>(INDEX('Earth curves'!$G$2:$G$46,MAX(1,MIN(44,IFERROR(MATCH(W123,'Earth curves'!$E$2:$E$46,1),1))))+(W123-INDEX('Earth curves'!$E$2:$E$46,MAX(1,MIN(44,IFERROR(MATCH(W123,'Earth curves'!$E$2:$E$46,1),1)))))*(INDEX('Earth curves'!$G$2:$G$46,MAX(1,MIN(44,IFERROR(MATCH(W123,'Earth curves'!$E$2:$E$46,1),1)))+1)-INDEX('Earth curves'!$G$2:$G$46,MAX(1,MIN(44,IFERROR(MATCH(W123,'Earth curves'!$E$2:$E$46,1),1)))))/(INDEX('Earth curves'!$E$2:$E$46,MAX(1,MIN(44,IFERROR(MATCH(W123,'Earth curves'!$E$2:$E$46,1),1)))+1)-INDEX('Earth curves'!$E$2:$E$46,MAX(1,MIN(44,IFERROR(MATCH(W123,'Earth curves'!$E$2:$E$46,1),1))))))</f>
        <v/>
      </c>
      <c r="Z123" s="6">
        <f>(MIN(X123/Config!$B$9,1)+MIN(Y123/Config!$B$10,1))/2</f>
        <v/>
      </c>
      <c r="AA123" s="10">
        <f>ROUND(MIN(22,MAX(3,X123*W123/Z123)),1)</f>
        <v/>
      </c>
      <c r="AB123" s="11" t="n"/>
      <c r="AC123" s="10">
        <f>IF(AB123="",AA123,AB123)</f>
        <v/>
      </c>
      <c r="AD123" s="10">
        <f>ROUND(MIN(Config!$B$10,MAX(1,Y123*W123/Z123)),1)</f>
        <v/>
      </c>
      <c r="AE123" s="11" t="n"/>
      <c r="AF123" s="10">
        <f>IF(AE123="",AD123,AE123)</f>
        <v/>
      </c>
      <c r="AG123" s="9">
        <f>(V123-Config!$B$7)/(Config!$B$8-Config!$B$7)</f>
        <v/>
      </c>
      <c r="AH123" s="9">
        <f>(MIN(AC123/Config!$B$9,1)+MIN(AF123/Config!$B$10,1))/2</f>
        <v/>
      </c>
      <c r="AI123" s="12">
        <f>ROUND((AG123*AH123*G123)^(1/3),3)</f>
        <v/>
      </c>
      <c r="AJ123" s="12" t="n">
        <v>0.589</v>
      </c>
      <c r="AK123" s="13">
        <f>AI123-AJ123</f>
        <v/>
      </c>
      <c r="AL123" s="13">
        <f>AK123-AVERAGE($AK$2:$AK$173)</f>
        <v/>
      </c>
      <c r="AM123" s="6">
        <f>IF(ABS(AL123)&gt;Config!$B$11,"REVIEW","")</f>
        <v/>
      </c>
      <c r="AN123" s="14">
        <f>RANK(AI123,$AI$2:$AI$173)</f>
        <v/>
      </c>
      <c r="AO123" s="14">
        <f>RANK(AJ123,$AJ$2:$AJ$173)</f>
        <v/>
      </c>
      <c r="AP123" s="14" t="n">
        <v>123</v>
      </c>
    </row>
    <row r="124">
      <c r="A124" s="6" t="inlineStr">
        <is>
          <t>Sadain</t>
        </is>
      </c>
      <c r="B124" s="6" t="inlineStr">
        <is>
          <t>Mahea</t>
        </is>
      </c>
      <c r="C124" s="6" t="inlineStr">
        <is>
          <t>resource</t>
        </is>
      </c>
      <c r="D124" s="7" t="n">
        <v>60000</v>
      </c>
      <c r="E124" s="8">
        <f>D124*Config!$B$4</f>
        <v/>
      </c>
      <c r="F124" s="6">
        <f>LN(MAX(60,E124))</f>
        <v/>
      </c>
      <c r="G124" s="9">
        <f>MEDIAN(0,(F124-LN(Config!$B$5))/(LN(Config!$B$6)-LN(Config!$B$5)),1)</f>
        <v/>
      </c>
      <c r="H124" s="6">
        <f>MOD((Config!$B$2+$AP124*7919)*9301+49297,233280)/233280</f>
        <v/>
      </c>
      <c r="I124" s="6">
        <f>MOD((Config!$B$2+$AP124*104729)*4096+150889,714025)/714025</f>
        <v/>
      </c>
      <c r="J124" s="6">
        <f>MOD((Config!$B$2*31+$AP124*15485863)*1366+150889,714025)/714025</f>
        <v/>
      </c>
      <c r="K124" s="6" t="n"/>
      <c r="L124" s="6" t="n"/>
      <c r="M124" s="6">
        <f>COUNTIF(Siblings!$A$2:$A$84,B124)</f>
        <v/>
      </c>
      <c r="N124" s="6">
        <f>1+INT(J124*M124)</f>
        <v/>
      </c>
      <c r="O124" s="6">
        <f>IF(K124&lt;&gt;"",K124,IFERROR(INDEX(Siblings!$D$2:$D$84,MATCH(B124&amp;"|"&amp;N124,Siblings!$F$2:$F$84,0)),0))</f>
        <v/>
      </c>
      <c r="P124" s="6">
        <f>IF(L124&lt;&gt;"",L124,IFERROR(INDEX(Siblings!$E$2:$E$84,MATCH(B124&amp;"|"&amp;N124,Siblings!$F$2:$F$84,0)),0))</f>
        <v/>
      </c>
      <c r="Q124" s="6">
        <f>(INDEX('Earth curves'!$B$2:$B$46,MAX(1,MIN(44,IFERROR(MATCH(F124,'Earth curves'!$A$2:$A$46,1),1))))+(F124-INDEX('Earth curves'!$A$2:$A$46,MAX(1,MIN(44,IFERROR(MATCH(F124,'Earth curves'!$A$2:$A$46,1),1)))))*(INDEX('Earth curves'!$B$2:$B$46,MAX(1,MIN(44,IFERROR(MATCH(F124,'Earth curves'!$A$2:$A$46,1),1)))+1)-INDEX('Earth curves'!$B$2:$B$46,MAX(1,MIN(44,IFERROR(MATCH(F124,'Earth curves'!$A$2:$A$46,1),1)))))/(INDEX('Earth curves'!$A$2:$A$46,MAX(1,MIN(44,IFERROR(MATCH(F124,'Earth curves'!$A$2:$A$46,1),1)))+1)-INDEX('Earth curves'!$A$2:$A$46,MAX(1,MIN(44,IFERROR(MATCH(F124,'Earth curves'!$A$2:$A$46,1),1))))))</f>
        <v/>
      </c>
      <c r="R124" s="6">
        <f>(INDEX('Earth curves'!$C$2:$C$46,MAX(1,MIN(44,IFERROR(MATCH(F124,'Earth curves'!$A$2:$A$46,1),1))))+(F124-INDEX('Earth curves'!$A$2:$A$46,MAX(1,MIN(44,IFERROR(MATCH(F124,'Earth curves'!$A$2:$A$46,1),1)))))*(INDEX('Earth curves'!$C$2:$C$46,MAX(1,MIN(44,IFERROR(MATCH(F124,'Earth curves'!$A$2:$A$46,1),1)))+1)-INDEX('Earth curves'!$C$2:$C$46,MAX(1,MIN(44,IFERROR(MATCH(F124,'Earth curves'!$A$2:$A$46,1),1)))))/(INDEX('Earth curves'!$A$2:$A$46,MAX(1,MIN(44,IFERROR(MATCH(F124,'Earth curves'!$A$2:$A$46,1),1)))+1)-INDEX('Earth curves'!$A$2:$A$46,MAX(1,MIN(44,IFERROR(MATCH(F124,'Earth curves'!$A$2:$A$46,1),1))))))</f>
        <v/>
      </c>
      <c r="S124" s="6">
        <f>MEDIAN(0.307692,Q124+MEDIAN(-0.350583,O124+NORMSINV(H124)*0.064828*Config!$B$3,0.120277),0.993846)</f>
        <v/>
      </c>
      <c r="T124" s="10">
        <f>ROUND(Config!$B$7+(Config!$B$8-Config!$B$7)*S124,1)</f>
        <v/>
      </c>
      <c r="U124" s="11" t="n"/>
      <c r="V124" s="10">
        <f>IF(U124="",T124,U124)</f>
        <v/>
      </c>
      <c r="W124" s="6">
        <f>MEDIAN(0.05,R124+MEDIAN(-0.302219,P124+NORMSINV(I124)*0.089531*Config!$B$3,0.274961),0.999)</f>
        <v/>
      </c>
      <c r="X124" s="6">
        <f>(INDEX('Earth curves'!$F$2:$F$46,MAX(1,MIN(44,IFERROR(MATCH(W124,'Earth curves'!$E$2:$E$46,1),1))))+(W124-INDEX('Earth curves'!$E$2:$E$46,MAX(1,MIN(44,IFERROR(MATCH(W124,'Earth curves'!$E$2:$E$46,1),1)))))*(INDEX('Earth curves'!$F$2:$F$46,MAX(1,MIN(44,IFERROR(MATCH(W124,'Earth curves'!$E$2:$E$46,1),1)))+1)-INDEX('Earth curves'!$F$2:$F$46,MAX(1,MIN(44,IFERROR(MATCH(W124,'Earth curves'!$E$2:$E$46,1),1)))))/(INDEX('Earth curves'!$E$2:$E$46,MAX(1,MIN(44,IFERROR(MATCH(W124,'Earth curves'!$E$2:$E$46,1),1)))+1)-INDEX('Earth curves'!$E$2:$E$46,MAX(1,MIN(44,IFERROR(MATCH(W124,'Earth curves'!$E$2:$E$46,1),1))))))</f>
        <v/>
      </c>
      <c r="Y124" s="6">
        <f>(INDEX('Earth curves'!$G$2:$G$46,MAX(1,MIN(44,IFERROR(MATCH(W124,'Earth curves'!$E$2:$E$46,1),1))))+(W124-INDEX('Earth curves'!$E$2:$E$46,MAX(1,MIN(44,IFERROR(MATCH(W124,'Earth curves'!$E$2:$E$46,1),1)))))*(INDEX('Earth curves'!$G$2:$G$46,MAX(1,MIN(44,IFERROR(MATCH(W124,'Earth curves'!$E$2:$E$46,1),1)))+1)-INDEX('Earth curves'!$G$2:$G$46,MAX(1,MIN(44,IFERROR(MATCH(W124,'Earth curves'!$E$2:$E$46,1),1)))))/(INDEX('Earth curves'!$E$2:$E$46,MAX(1,MIN(44,IFERROR(MATCH(W124,'Earth curves'!$E$2:$E$46,1),1)))+1)-INDEX('Earth curves'!$E$2:$E$46,MAX(1,MIN(44,IFERROR(MATCH(W124,'Earth curves'!$E$2:$E$46,1),1))))))</f>
        <v/>
      </c>
      <c r="Z124" s="6">
        <f>(MIN(X124/Config!$B$9,1)+MIN(Y124/Config!$B$10,1))/2</f>
        <v/>
      </c>
      <c r="AA124" s="10">
        <f>ROUND(MIN(22,MAX(3,X124*W124/Z124)),1)</f>
        <v/>
      </c>
      <c r="AB124" s="11" t="n"/>
      <c r="AC124" s="10">
        <f>IF(AB124="",AA124,AB124)</f>
        <v/>
      </c>
      <c r="AD124" s="10">
        <f>ROUND(MIN(Config!$B$10,MAX(1,Y124*W124/Z124)),1)</f>
        <v/>
      </c>
      <c r="AE124" s="11" t="n"/>
      <c r="AF124" s="10">
        <f>IF(AE124="",AD124,AE124)</f>
        <v/>
      </c>
      <c r="AG124" s="9">
        <f>(V124-Config!$B$7)/(Config!$B$8-Config!$B$7)</f>
        <v/>
      </c>
      <c r="AH124" s="9">
        <f>(MIN(AC124/Config!$B$9,1)+MIN(AF124/Config!$B$10,1))/2</f>
        <v/>
      </c>
      <c r="AI124" s="12">
        <f>ROUND((AG124*AH124*G124)^(1/3),3)</f>
        <v/>
      </c>
      <c r="AJ124" s="12" t="n">
        <v>0.88</v>
      </c>
      <c r="AK124" s="13">
        <f>AI124-AJ124</f>
        <v/>
      </c>
      <c r="AL124" s="13">
        <f>AK124-AVERAGE($AK$2:$AK$173)</f>
        <v/>
      </c>
      <c r="AM124" s="6">
        <f>IF(ABS(AL124)&gt;Config!$B$11,"REVIEW","")</f>
        <v/>
      </c>
      <c r="AN124" s="14">
        <f>RANK(AI124,$AI$2:$AI$173)</f>
        <v/>
      </c>
      <c r="AO124" s="14">
        <f>RANK(AJ124,$AJ$2:$AJ$173)</f>
        <v/>
      </c>
      <c r="AP124" s="14" t="n">
        <v>124</v>
      </c>
    </row>
    <row r="125">
      <c r="A125" s="6" t="inlineStr">
        <is>
          <t>Sanagara</t>
        </is>
      </c>
      <c r="B125" s="6" t="inlineStr">
        <is>
          <t>Massir</t>
        </is>
      </c>
      <c r="C125" s="6" t="inlineStr">
        <is>
          <t>resource, university</t>
        </is>
      </c>
      <c r="D125" s="7" t="n">
        <v>122222</v>
      </c>
      <c r="E125" s="8">
        <f>D125*Config!$B$4</f>
        <v/>
      </c>
      <c r="F125" s="6">
        <f>LN(MAX(60,E125))</f>
        <v/>
      </c>
      <c r="G125" s="9">
        <f>MEDIAN(0,(F125-LN(Config!$B$5))/(LN(Config!$B$6)-LN(Config!$B$5)),1)</f>
        <v/>
      </c>
      <c r="H125" s="6">
        <f>MOD((Config!$B$2+$AP125*7919)*9301+49297,233280)/233280</f>
        <v/>
      </c>
      <c r="I125" s="6">
        <f>MOD((Config!$B$2+$AP125*104729)*4096+150889,714025)/714025</f>
        <v/>
      </c>
      <c r="J125" s="6">
        <f>MOD((Config!$B$2*31+$AP125*15485863)*1366+150889,714025)/714025</f>
        <v/>
      </c>
      <c r="K125" s="6" t="n"/>
      <c r="L125" s="6" t="n"/>
      <c r="M125" s="6">
        <f>COUNTIF(Siblings!$A$2:$A$84,B125)</f>
        <v/>
      </c>
      <c r="N125" s="6">
        <f>1+INT(J125*M125)</f>
        <v/>
      </c>
      <c r="O125" s="6">
        <f>IF(K125&lt;&gt;"",K125,IFERROR(INDEX(Siblings!$D$2:$D$84,MATCH(B125&amp;"|"&amp;N125,Siblings!$F$2:$F$84,0)),0))</f>
        <v/>
      </c>
      <c r="P125" s="6">
        <f>IF(L125&lt;&gt;"",L125,IFERROR(INDEX(Siblings!$E$2:$E$84,MATCH(B125&amp;"|"&amp;N125,Siblings!$F$2:$F$84,0)),0))</f>
        <v/>
      </c>
      <c r="Q125" s="6">
        <f>(INDEX('Earth curves'!$B$2:$B$46,MAX(1,MIN(44,IFERROR(MATCH(F125,'Earth curves'!$A$2:$A$46,1),1))))+(F125-INDEX('Earth curves'!$A$2:$A$46,MAX(1,MIN(44,IFERROR(MATCH(F125,'Earth curves'!$A$2:$A$46,1),1)))))*(INDEX('Earth curves'!$B$2:$B$46,MAX(1,MIN(44,IFERROR(MATCH(F125,'Earth curves'!$A$2:$A$46,1),1)))+1)-INDEX('Earth curves'!$B$2:$B$46,MAX(1,MIN(44,IFERROR(MATCH(F125,'Earth curves'!$A$2:$A$46,1),1)))))/(INDEX('Earth curves'!$A$2:$A$46,MAX(1,MIN(44,IFERROR(MATCH(F125,'Earth curves'!$A$2:$A$46,1),1)))+1)-INDEX('Earth curves'!$A$2:$A$46,MAX(1,MIN(44,IFERROR(MATCH(F125,'Earth curves'!$A$2:$A$46,1),1))))))</f>
        <v/>
      </c>
      <c r="R125" s="6">
        <f>(INDEX('Earth curves'!$C$2:$C$46,MAX(1,MIN(44,IFERROR(MATCH(F125,'Earth curves'!$A$2:$A$46,1),1))))+(F125-INDEX('Earth curves'!$A$2:$A$46,MAX(1,MIN(44,IFERROR(MATCH(F125,'Earth curves'!$A$2:$A$46,1),1)))))*(INDEX('Earth curves'!$C$2:$C$46,MAX(1,MIN(44,IFERROR(MATCH(F125,'Earth curves'!$A$2:$A$46,1),1)))+1)-INDEX('Earth curves'!$C$2:$C$46,MAX(1,MIN(44,IFERROR(MATCH(F125,'Earth curves'!$A$2:$A$46,1),1)))))/(INDEX('Earth curves'!$A$2:$A$46,MAX(1,MIN(44,IFERROR(MATCH(F125,'Earth curves'!$A$2:$A$46,1),1)))+1)-INDEX('Earth curves'!$A$2:$A$46,MAX(1,MIN(44,IFERROR(MATCH(F125,'Earth curves'!$A$2:$A$46,1),1))))))</f>
        <v/>
      </c>
      <c r="S125" s="6">
        <f>MEDIAN(0.307692,Q125+MEDIAN(-0.350583,O125+NORMSINV(H125)*0.064828*Config!$B$3,0.120277),0.993846)</f>
        <v/>
      </c>
      <c r="T125" s="10">
        <f>ROUND(Config!$B$7+(Config!$B$8-Config!$B$7)*S125,1)</f>
        <v/>
      </c>
      <c r="U125" s="11" t="n"/>
      <c r="V125" s="10">
        <f>IF(U125="",T125,U125)</f>
        <v/>
      </c>
      <c r="W125" s="6">
        <f>MEDIAN(0.05,R125+MEDIAN(-0.302219,P125+NORMSINV(I125)*0.089531*Config!$B$3,0.274961),0.999)</f>
        <v/>
      </c>
      <c r="X125" s="6">
        <f>(INDEX('Earth curves'!$F$2:$F$46,MAX(1,MIN(44,IFERROR(MATCH(W125,'Earth curves'!$E$2:$E$46,1),1))))+(W125-INDEX('Earth curves'!$E$2:$E$46,MAX(1,MIN(44,IFERROR(MATCH(W125,'Earth curves'!$E$2:$E$46,1),1)))))*(INDEX('Earth curves'!$F$2:$F$46,MAX(1,MIN(44,IFERROR(MATCH(W125,'Earth curves'!$E$2:$E$46,1),1)))+1)-INDEX('Earth curves'!$F$2:$F$46,MAX(1,MIN(44,IFERROR(MATCH(W125,'Earth curves'!$E$2:$E$46,1),1)))))/(INDEX('Earth curves'!$E$2:$E$46,MAX(1,MIN(44,IFERROR(MATCH(W125,'Earth curves'!$E$2:$E$46,1),1)))+1)-INDEX('Earth curves'!$E$2:$E$46,MAX(1,MIN(44,IFERROR(MATCH(W125,'Earth curves'!$E$2:$E$46,1),1))))))</f>
        <v/>
      </c>
      <c r="Y125" s="6">
        <f>(INDEX('Earth curves'!$G$2:$G$46,MAX(1,MIN(44,IFERROR(MATCH(W125,'Earth curves'!$E$2:$E$46,1),1))))+(W125-INDEX('Earth curves'!$E$2:$E$46,MAX(1,MIN(44,IFERROR(MATCH(W125,'Earth curves'!$E$2:$E$46,1),1)))))*(INDEX('Earth curves'!$G$2:$G$46,MAX(1,MIN(44,IFERROR(MATCH(W125,'Earth curves'!$E$2:$E$46,1),1)))+1)-INDEX('Earth curves'!$G$2:$G$46,MAX(1,MIN(44,IFERROR(MATCH(W125,'Earth curves'!$E$2:$E$46,1),1)))))/(INDEX('Earth curves'!$E$2:$E$46,MAX(1,MIN(44,IFERROR(MATCH(W125,'Earth curves'!$E$2:$E$46,1),1)))+1)-INDEX('Earth curves'!$E$2:$E$46,MAX(1,MIN(44,IFERROR(MATCH(W125,'Earth curves'!$E$2:$E$46,1),1))))))</f>
        <v/>
      </c>
      <c r="Z125" s="6">
        <f>(MIN(X125/Config!$B$9,1)+MIN(Y125/Config!$B$10,1))/2</f>
        <v/>
      </c>
      <c r="AA125" s="10">
        <f>ROUND(MIN(22,MAX(3,X125*W125/Z125)),1)</f>
        <v/>
      </c>
      <c r="AB125" s="11" t="n"/>
      <c r="AC125" s="10">
        <f>IF(AB125="",AA125,AB125)</f>
        <v/>
      </c>
      <c r="AD125" s="10">
        <f>ROUND(MIN(Config!$B$10,MAX(1,Y125*W125/Z125)),1)</f>
        <v/>
      </c>
      <c r="AE125" s="11" t="n"/>
      <c r="AF125" s="10">
        <f>IF(AE125="",AD125,AE125)</f>
        <v/>
      </c>
      <c r="AG125" s="9">
        <f>(V125-Config!$B$7)/(Config!$B$8-Config!$B$7)</f>
        <v/>
      </c>
      <c r="AH125" s="9">
        <f>(MIN(AC125/Config!$B$9,1)+MIN(AF125/Config!$B$10,1))/2</f>
        <v/>
      </c>
      <c r="AI125" s="12">
        <f>ROUND((AG125*AH125*G125)^(1/3),3)</f>
        <v/>
      </c>
      <c r="AJ125" s="12" t="n">
        <v>0.913</v>
      </c>
      <c r="AK125" s="13">
        <f>AI125-AJ125</f>
        <v/>
      </c>
      <c r="AL125" s="13">
        <f>AK125-AVERAGE($AK$2:$AK$173)</f>
        <v/>
      </c>
      <c r="AM125" s="6">
        <f>IF(ABS(AL125)&gt;Config!$B$11,"REVIEW","")</f>
        <v/>
      </c>
      <c r="AN125" s="14">
        <f>RANK(AI125,$AI$2:$AI$173)</f>
        <v/>
      </c>
      <c r="AO125" s="14">
        <f>RANK(AJ125,$AJ$2:$AJ$173)</f>
        <v/>
      </c>
      <c r="AP125" s="14" t="n">
        <v>125</v>
      </c>
    </row>
    <row r="126">
      <c r="A126" s="6" t="inlineStr">
        <is>
          <t>Sattle</t>
        </is>
      </c>
      <c r="B126" s="6" t="inlineStr">
        <is>
          <t>Acrola</t>
        </is>
      </c>
      <c r="C126" s="6" t="inlineStr">
        <is>
          <t>resource</t>
        </is>
      </c>
      <c r="D126" s="7" t="n">
        <v>5333</v>
      </c>
      <c r="E126" s="8">
        <f>D126*Config!$B$4</f>
        <v/>
      </c>
      <c r="F126" s="6">
        <f>LN(MAX(60,E126))</f>
        <v/>
      </c>
      <c r="G126" s="9">
        <f>MEDIAN(0,(F126-LN(Config!$B$5))/(LN(Config!$B$6)-LN(Config!$B$5)),1)</f>
        <v/>
      </c>
      <c r="H126" s="6">
        <f>MOD((Config!$B$2+$AP126*7919)*9301+49297,233280)/233280</f>
        <v/>
      </c>
      <c r="I126" s="6">
        <f>MOD((Config!$B$2+$AP126*104729)*4096+150889,714025)/714025</f>
        <v/>
      </c>
      <c r="J126" s="6">
        <f>MOD((Config!$B$2*31+$AP126*15485863)*1366+150889,714025)/714025</f>
        <v/>
      </c>
      <c r="K126" s="6" t="n"/>
      <c r="L126" s="6" t="n"/>
      <c r="M126" s="6">
        <f>COUNTIF(Siblings!$A$2:$A$84,B126)</f>
        <v/>
      </c>
      <c r="N126" s="6">
        <f>1+INT(J126*M126)</f>
        <v/>
      </c>
      <c r="O126" s="6">
        <f>IF(K126&lt;&gt;"",K126,IFERROR(INDEX(Siblings!$D$2:$D$84,MATCH(B126&amp;"|"&amp;N126,Siblings!$F$2:$F$84,0)),0))</f>
        <v/>
      </c>
      <c r="P126" s="6">
        <f>IF(L126&lt;&gt;"",L126,IFERROR(INDEX(Siblings!$E$2:$E$84,MATCH(B126&amp;"|"&amp;N126,Siblings!$F$2:$F$84,0)),0))</f>
        <v/>
      </c>
      <c r="Q126" s="6">
        <f>(INDEX('Earth curves'!$B$2:$B$46,MAX(1,MIN(44,IFERROR(MATCH(F126,'Earth curves'!$A$2:$A$46,1),1))))+(F126-INDEX('Earth curves'!$A$2:$A$46,MAX(1,MIN(44,IFERROR(MATCH(F126,'Earth curves'!$A$2:$A$46,1),1)))))*(INDEX('Earth curves'!$B$2:$B$46,MAX(1,MIN(44,IFERROR(MATCH(F126,'Earth curves'!$A$2:$A$46,1),1)))+1)-INDEX('Earth curves'!$B$2:$B$46,MAX(1,MIN(44,IFERROR(MATCH(F126,'Earth curves'!$A$2:$A$46,1),1)))))/(INDEX('Earth curves'!$A$2:$A$46,MAX(1,MIN(44,IFERROR(MATCH(F126,'Earth curves'!$A$2:$A$46,1),1)))+1)-INDEX('Earth curves'!$A$2:$A$46,MAX(1,MIN(44,IFERROR(MATCH(F126,'Earth curves'!$A$2:$A$46,1),1))))))</f>
        <v/>
      </c>
      <c r="R126" s="6">
        <f>(INDEX('Earth curves'!$C$2:$C$46,MAX(1,MIN(44,IFERROR(MATCH(F126,'Earth curves'!$A$2:$A$46,1),1))))+(F126-INDEX('Earth curves'!$A$2:$A$46,MAX(1,MIN(44,IFERROR(MATCH(F126,'Earth curves'!$A$2:$A$46,1),1)))))*(INDEX('Earth curves'!$C$2:$C$46,MAX(1,MIN(44,IFERROR(MATCH(F126,'Earth curves'!$A$2:$A$46,1),1)))+1)-INDEX('Earth curves'!$C$2:$C$46,MAX(1,MIN(44,IFERROR(MATCH(F126,'Earth curves'!$A$2:$A$46,1),1)))))/(INDEX('Earth curves'!$A$2:$A$46,MAX(1,MIN(44,IFERROR(MATCH(F126,'Earth curves'!$A$2:$A$46,1),1)))+1)-INDEX('Earth curves'!$A$2:$A$46,MAX(1,MIN(44,IFERROR(MATCH(F126,'Earth curves'!$A$2:$A$46,1),1))))))</f>
        <v/>
      </c>
      <c r="S126" s="6">
        <f>MEDIAN(0.307692,Q126+MEDIAN(-0.350583,O126+NORMSINV(H126)*0.064828*Config!$B$3,0.120277),0.993846)</f>
        <v/>
      </c>
      <c r="T126" s="10">
        <f>ROUND(Config!$B$7+(Config!$B$8-Config!$B$7)*S126,1)</f>
        <v/>
      </c>
      <c r="U126" s="11" t="n"/>
      <c r="V126" s="10">
        <f>IF(U126="",T126,U126)</f>
        <v/>
      </c>
      <c r="W126" s="6">
        <f>MEDIAN(0.05,R126+MEDIAN(-0.302219,P126+NORMSINV(I126)*0.089531*Config!$B$3,0.274961),0.999)</f>
        <v/>
      </c>
      <c r="X126" s="6">
        <f>(INDEX('Earth curves'!$F$2:$F$46,MAX(1,MIN(44,IFERROR(MATCH(W126,'Earth curves'!$E$2:$E$46,1),1))))+(W126-INDEX('Earth curves'!$E$2:$E$46,MAX(1,MIN(44,IFERROR(MATCH(W126,'Earth curves'!$E$2:$E$46,1),1)))))*(INDEX('Earth curves'!$F$2:$F$46,MAX(1,MIN(44,IFERROR(MATCH(W126,'Earth curves'!$E$2:$E$46,1),1)))+1)-INDEX('Earth curves'!$F$2:$F$46,MAX(1,MIN(44,IFERROR(MATCH(W126,'Earth curves'!$E$2:$E$46,1),1)))))/(INDEX('Earth curves'!$E$2:$E$46,MAX(1,MIN(44,IFERROR(MATCH(W126,'Earth curves'!$E$2:$E$46,1),1)))+1)-INDEX('Earth curves'!$E$2:$E$46,MAX(1,MIN(44,IFERROR(MATCH(W126,'Earth curves'!$E$2:$E$46,1),1))))))</f>
        <v/>
      </c>
      <c r="Y126" s="6">
        <f>(INDEX('Earth curves'!$G$2:$G$46,MAX(1,MIN(44,IFERROR(MATCH(W126,'Earth curves'!$E$2:$E$46,1),1))))+(W126-INDEX('Earth curves'!$E$2:$E$46,MAX(1,MIN(44,IFERROR(MATCH(W126,'Earth curves'!$E$2:$E$46,1),1)))))*(INDEX('Earth curves'!$G$2:$G$46,MAX(1,MIN(44,IFERROR(MATCH(W126,'Earth curves'!$E$2:$E$46,1),1)))+1)-INDEX('Earth curves'!$G$2:$G$46,MAX(1,MIN(44,IFERROR(MATCH(W126,'Earth curves'!$E$2:$E$46,1),1)))))/(INDEX('Earth curves'!$E$2:$E$46,MAX(1,MIN(44,IFERROR(MATCH(W126,'Earth curves'!$E$2:$E$46,1),1)))+1)-INDEX('Earth curves'!$E$2:$E$46,MAX(1,MIN(44,IFERROR(MATCH(W126,'Earth curves'!$E$2:$E$46,1),1))))))</f>
        <v/>
      </c>
      <c r="Z126" s="6">
        <f>(MIN(X126/Config!$B$9,1)+MIN(Y126/Config!$B$10,1))/2</f>
        <v/>
      </c>
      <c r="AA126" s="10">
        <f>ROUND(MIN(22,MAX(3,X126*W126/Z126)),1)</f>
        <v/>
      </c>
      <c r="AB126" s="11" t="n"/>
      <c r="AC126" s="10">
        <f>IF(AB126="",AA126,AB126)</f>
        <v/>
      </c>
      <c r="AD126" s="10">
        <f>ROUND(MIN(Config!$B$10,MAX(1,Y126*W126/Z126)),1)</f>
        <v/>
      </c>
      <c r="AE126" s="11" t="n"/>
      <c r="AF126" s="10">
        <f>IF(AE126="",AD126,AE126)</f>
        <v/>
      </c>
      <c r="AG126" s="9">
        <f>(V126-Config!$B$7)/(Config!$B$8-Config!$B$7)</f>
        <v/>
      </c>
      <c r="AH126" s="9">
        <f>(MIN(AC126/Config!$B$9,1)+MIN(AF126/Config!$B$10,1))/2</f>
        <v/>
      </c>
      <c r="AI126" s="12">
        <f>ROUND((AG126*AH126*G126)^(1/3),3)</f>
        <v/>
      </c>
      <c r="AJ126" s="12" t="n">
        <v>0.474</v>
      </c>
      <c r="AK126" s="13">
        <f>AI126-AJ126</f>
        <v/>
      </c>
      <c r="AL126" s="13">
        <f>AK126-AVERAGE($AK$2:$AK$173)</f>
        <v/>
      </c>
      <c r="AM126" s="6">
        <f>IF(ABS(AL126)&gt;Config!$B$11,"REVIEW","")</f>
        <v/>
      </c>
      <c r="AN126" s="14">
        <f>RANK(AI126,$AI$2:$AI$173)</f>
        <v/>
      </c>
      <c r="AO126" s="14">
        <f>RANK(AJ126,$AJ$2:$AJ$173)</f>
        <v/>
      </c>
      <c r="AP126" s="14" t="n">
        <v>126</v>
      </c>
    </row>
    <row r="127">
      <c r="A127" s="6" t="inlineStr">
        <is>
          <t>Selaja</t>
        </is>
      </c>
      <c r="B127" s="6" t="inlineStr">
        <is>
          <t>Mahea</t>
        </is>
      </c>
      <c r="C127" s="6" t="inlineStr">
        <is>
          <t>petro, resource</t>
        </is>
      </c>
      <c r="D127" s="7" t="n">
        <v>51111</v>
      </c>
      <c r="E127" s="8">
        <f>D127*Config!$B$4</f>
        <v/>
      </c>
      <c r="F127" s="6">
        <f>LN(MAX(60,E127))</f>
        <v/>
      </c>
      <c r="G127" s="9">
        <f>MEDIAN(0,(F127-LN(Config!$B$5))/(LN(Config!$B$6)-LN(Config!$B$5)),1)</f>
        <v/>
      </c>
      <c r="H127" s="6">
        <f>MOD((Config!$B$2+$AP127*7919)*9301+49297,233280)/233280</f>
        <v/>
      </c>
      <c r="I127" s="6">
        <f>MOD((Config!$B$2+$AP127*104729)*4096+150889,714025)/714025</f>
        <v/>
      </c>
      <c r="J127" s="6">
        <f>MOD((Config!$B$2*31+$AP127*15485863)*1366+150889,714025)/714025</f>
        <v/>
      </c>
      <c r="K127" s="6" t="n"/>
      <c r="L127" s="6" t="n"/>
      <c r="M127" s="6">
        <f>COUNTIF(Siblings!$A$2:$A$84,B127)</f>
        <v/>
      </c>
      <c r="N127" s="6">
        <f>1+INT(J127*M127)</f>
        <v/>
      </c>
      <c r="O127" s="6">
        <f>IF(K127&lt;&gt;"",K127,IFERROR(INDEX(Siblings!$D$2:$D$84,MATCH(B127&amp;"|"&amp;N127,Siblings!$F$2:$F$84,0)),0))</f>
        <v/>
      </c>
      <c r="P127" s="6">
        <f>IF(L127&lt;&gt;"",L127,IFERROR(INDEX(Siblings!$E$2:$E$84,MATCH(B127&amp;"|"&amp;N127,Siblings!$F$2:$F$84,0)),0))</f>
        <v/>
      </c>
      <c r="Q127" s="6">
        <f>(INDEX('Earth curves'!$B$2:$B$46,MAX(1,MIN(44,IFERROR(MATCH(F127,'Earth curves'!$A$2:$A$46,1),1))))+(F127-INDEX('Earth curves'!$A$2:$A$46,MAX(1,MIN(44,IFERROR(MATCH(F127,'Earth curves'!$A$2:$A$46,1),1)))))*(INDEX('Earth curves'!$B$2:$B$46,MAX(1,MIN(44,IFERROR(MATCH(F127,'Earth curves'!$A$2:$A$46,1),1)))+1)-INDEX('Earth curves'!$B$2:$B$46,MAX(1,MIN(44,IFERROR(MATCH(F127,'Earth curves'!$A$2:$A$46,1),1)))))/(INDEX('Earth curves'!$A$2:$A$46,MAX(1,MIN(44,IFERROR(MATCH(F127,'Earth curves'!$A$2:$A$46,1),1)))+1)-INDEX('Earth curves'!$A$2:$A$46,MAX(1,MIN(44,IFERROR(MATCH(F127,'Earth curves'!$A$2:$A$46,1),1))))))</f>
        <v/>
      </c>
      <c r="R127" s="6">
        <f>(INDEX('Earth curves'!$C$2:$C$46,MAX(1,MIN(44,IFERROR(MATCH(F127,'Earth curves'!$A$2:$A$46,1),1))))+(F127-INDEX('Earth curves'!$A$2:$A$46,MAX(1,MIN(44,IFERROR(MATCH(F127,'Earth curves'!$A$2:$A$46,1),1)))))*(INDEX('Earth curves'!$C$2:$C$46,MAX(1,MIN(44,IFERROR(MATCH(F127,'Earth curves'!$A$2:$A$46,1),1)))+1)-INDEX('Earth curves'!$C$2:$C$46,MAX(1,MIN(44,IFERROR(MATCH(F127,'Earth curves'!$A$2:$A$46,1),1)))))/(INDEX('Earth curves'!$A$2:$A$46,MAX(1,MIN(44,IFERROR(MATCH(F127,'Earth curves'!$A$2:$A$46,1),1)))+1)-INDEX('Earth curves'!$A$2:$A$46,MAX(1,MIN(44,IFERROR(MATCH(F127,'Earth curves'!$A$2:$A$46,1),1))))))</f>
        <v/>
      </c>
      <c r="S127" s="6">
        <f>MEDIAN(0.307692,Q127+MEDIAN(-0.350583,O127+NORMSINV(H127)*0.064828*Config!$B$3,0.120277),0.993846)</f>
        <v/>
      </c>
      <c r="T127" s="10">
        <f>ROUND(Config!$B$7+(Config!$B$8-Config!$B$7)*S127,1)</f>
        <v/>
      </c>
      <c r="U127" s="11" t="n"/>
      <c r="V127" s="10">
        <f>IF(U127="",T127,U127)</f>
        <v/>
      </c>
      <c r="W127" s="6">
        <f>MEDIAN(0.05,R127+MEDIAN(-0.302219,P127+NORMSINV(I127)*0.089531*Config!$B$3,0.274961),0.999)</f>
        <v/>
      </c>
      <c r="X127" s="6">
        <f>(INDEX('Earth curves'!$F$2:$F$46,MAX(1,MIN(44,IFERROR(MATCH(W127,'Earth curves'!$E$2:$E$46,1),1))))+(W127-INDEX('Earth curves'!$E$2:$E$46,MAX(1,MIN(44,IFERROR(MATCH(W127,'Earth curves'!$E$2:$E$46,1),1)))))*(INDEX('Earth curves'!$F$2:$F$46,MAX(1,MIN(44,IFERROR(MATCH(W127,'Earth curves'!$E$2:$E$46,1),1)))+1)-INDEX('Earth curves'!$F$2:$F$46,MAX(1,MIN(44,IFERROR(MATCH(W127,'Earth curves'!$E$2:$E$46,1),1)))))/(INDEX('Earth curves'!$E$2:$E$46,MAX(1,MIN(44,IFERROR(MATCH(W127,'Earth curves'!$E$2:$E$46,1),1)))+1)-INDEX('Earth curves'!$E$2:$E$46,MAX(1,MIN(44,IFERROR(MATCH(W127,'Earth curves'!$E$2:$E$46,1),1))))))</f>
        <v/>
      </c>
      <c r="Y127" s="6">
        <f>(INDEX('Earth curves'!$G$2:$G$46,MAX(1,MIN(44,IFERROR(MATCH(W127,'Earth curves'!$E$2:$E$46,1),1))))+(W127-INDEX('Earth curves'!$E$2:$E$46,MAX(1,MIN(44,IFERROR(MATCH(W127,'Earth curves'!$E$2:$E$46,1),1)))))*(INDEX('Earth curves'!$G$2:$G$46,MAX(1,MIN(44,IFERROR(MATCH(W127,'Earth curves'!$E$2:$E$46,1),1)))+1)-INDEX('Earth curves'!$G$2:$G$46,MAX(1,MIN(44,IFERROR(MATCH(W127,'Earth curves'!$E$2:$E$46,1),1)))))/(INDEX('Earth curves'!$E$2:$E$46,MAX(1,MIN(44,IFERROR(MATCH(W127,'Earth curves'!$E$2:$E$46,1),1)))+1)-INDEX('Earth curves'!$E$2:$E$46,MAX(1,MIN(44,IFERROR(MATCH(W127,'Earth curves'!$E$2:$E$46,1),1))))))</f>
        <v/>
      </c>
      <c r="Z127" s="6">
        <f>(MIN(X127/Config!$B$9,1)+MIN(Y127/Config!$B$10,1))/2</f>
        <v/>
      </c>
      <c r="AA127" s="10">
        <f>ROUND(MIN(22,MAX(3,X127*W127/Z127)),1)</f>
        <v/>
      </c>
      <c r="AB127" s="11" t="n"/>
      <c r="AC127" s="10">
        <f>IF(AB127="",AA127,AB127)</f>
        <v/>
      </c>
      <c r="AD127" s="10">
        <f>ROUND(MIN(Config!$B$10,MAX(1,Y127*W127/Z127)),1)</f>
        <v/>
      </c>
      <c r="AE127" s="11" t="n"/>
      <c r="AF127" s="10">
        <f>IF(AE127="",AD127,AE127)</f>
        <v/>
      </c>
      <c r="AG127" s="9">
        <f>(V127-Config!$B$7)/(Config!$B$8-Config!$B$7)</f>
        <v/>
      </c>
      <c r="AH127" s="9">
        <f>(MIN(AC127/Config!$B$9,1)+MIN(AF127/Config!$B$10,1))/2</f>
        <v/>
      </c>
      <c r="AI127" s="12">
        <f>ROUND((AG127*AH127*G127)^(1/3),3)</f>
        <v/>
      </c>
      <c r="AJ127" s="12" t="n">
        <v>0.8070000000000001</v>
      </c>
      <c r="AK127" s="13">
        <f>AI127-AJ127</f>
        <v/>
      </c>
      <c r="AL127" s="13">
        <f>AK127-AVERAGE($AK$2:$AK$173)</f>
        <v/>
      </c>
      <c r="AM127" s="6">
        <f>IF(ABS(AL127)&gt;Config!$B$11,"REVIEW","")</f>
        <v/>
      </c>
      <c r="AN127" s="14">
        <f>RANK(AI127,$AI$2:$AI$173)</f>
        <v/>
      </c>
      <c r="AO127" s="14">
        <f>RANK(AJ127,$AJ$2:$AJ$173)</f>
        <v/>
      </c>
      <c r="AP127" s="14" t="n">
        <v>127</v>
      </c>
    </row>
    <row r="128">
      <c r="A128" s="6" t="inlineStr">
        <is>
          <t>Seytinemas</t>
        </is>
      </c>
      <c r="B128" s="6" t="inlineStr">
        <is>
          <t>Mahea</t>
        </is>
      </c>
      <c r="C128" s="6" t="inlineStr">
        <is>
          <t>resource</t>
        </is>
      </c>
      <c r="D128" s="7" t="n">
        <v>87937</v>
      </c>
      <c r="E128" s="8">
        <f>D128*Config!$B$4</f>
        <v/>
      </c>
      <c r="F128" s="6">
        <f>LN(MAX(60,E128))</f>
        <v/>
      </c>
      <c r="G128" s="9">
        <f>MEDIAN(0,(F128-LN(Config!$B$5))/(LN(Config!$B$6)-LN(Config!$B$5)),1)</f>
        <v/>
      </c>
      <c r="H128" s="6">
        <f>MOD((Config!$B$2+$AP128*7919)*9301+49297,233280)/233280</f>
        <v/>
      </c>
      <c r="I128" s="6">
        <f>MOD((Config!$B$2+$AP128*104729)*4096+150889,714025)/714025</f>
        <v/>
      </c>
      <c r="J128" s="6">
        <f>MOD((Config!$B$2*31+$AP128*15485863)*1366+150889,714025)/714025</f>
        <v/>
      </c>
      <c r="K128" s="6" t="n">
        <v>0.02769</v>
      </c>
      <c r="L128" s="6" t="n">
        <v>0.056515</v>
      </c>
      <c r="M128" s="6">
        <f>COUNTIF(Siblings!$A$2:$A$84,B128)</f>
        <v/>
      </c>
      <c r="N128" s="6">
        <f>1+INT(J128*M128)</f>
        <v/>
      </c>
      <c r="O128" s="6">
        <f>IF(K128&lt;&gt;"",K128,IFERROR(INDEX(Siblings!$D$2:$D$84,MATCH(B128&amp;"|"&amp;N128,Siblings!$F$2:$F$84,0)),0))</f>
        <v/>
      </c>
      <c r="P128" s="6">
        <f>IF(L128&lt;&gt;"",L128,IFERROR(INDEX(Siblings!$E$2:$E$84,MATCH(B128&amp;"|"&amp;N128,Siblings!$F$2:$F$84,0)),0))</f>
        <v/>
      </c>
      <c r="Q128" s="6">
        <f>(INDEX('Earth curves'!$B$2:$B$46,MAX(1,MIN(44,IFERROR(MATCH(F128,'Earth curves'!$A$2:$A$46,1),1))))+(F128-INDEX('Earth curves'!$A$2:$A$46,MAX(1,MIN(44,IFERROR(MATCH(F128,'Earth curves'!$A$2:$A$46,1),1)))))*(INDEX('Earth curves'!$B$2:$B$46,MAX(1,MIN(44,IFERROR(MATCH(F128,'Earth curves'!$A$2:$A$46,1),1)))+1)-INDEX('Earth curves'!$B$2:$B$46,MAX(1,MIN(44,IFERROR(MATCH(F128,'Earth curves'!$A$2:$A$46,1),1)))))/(INDEX('Earth curves'!$A$2:$A$46,MAX(1,MIN(44,IFERROR(MATCH(F128,'Earth curves'!$A$2:$A$46,1),1)))+1)-INDEX('Earth curves'!$A$2:$A$46,MAX(1,MIN(44,IFERROR(MATCH(F128,'Earth curves'!$A$2:$A$46,1),1))))))</f>
        <v/>
      </c>
      <c r="R128" s="6">
        <f>(INDEX('Earth curves'!$C$2:$C$46,MAX(1,MIN(44,IFERROR(MATCH(F128,'Earth curves'!$A$2:$A$46,1),1))))+(F128-INDEX('Earth curves'!$A$2:$A$46,MAX(1,MIN(44,IFERROR(MATCH(F128,'Earth curves'!$A$2:$A$46,1),1)))))*(INDEX('Earth curves'!$C$2:$C$46,MAX(1,MIN(44,IFERROR(MATCH(F128,'Earth curves'!$A$2:$A$46,1),1)))+1)-INDEX('Earth curves'!$C$2:$C$46,MAX(1,MIN(44,IFERROR(MATCH(F128,'Earth curves'!$A$2:$A$46,1),1)))))/(INDEX('Earth curves'!$A$2:$A$46,MAX(1,MIN(44,IFERROR(MATCH(F128,'Earth curves'!$A$2:$A$46,1),1)))+1)-INDEX('Earth curves'!$A$2:$A$46,MAX(1,MIN(44,IFERROR(MATCH(F128,'Earth curves'!$A$2:$A$46,1),1))))))</f>
        <v/>
      </c>
      <c r="S128" s="6">
        <f>MEDIAN(0.307692,Q128+MEDIAN(-0.350583,O128+NORMSINV(H128)*0.064828*Config!$B$3,0.120277),0.993846)</f>
        <v/>
      </c>
      <c r="T128" s="10">
        <f>ROUND(Config!$B$7+(Config!$B$8-Config!$B$7)*S128,1)</f>
        <v/>
      </c>
      <c r="U128" s="11" t="n"/>
      <c r="V128" s="10">
        <f>IF(U128="",T128,U128)</f>
        <v/>
      </c>
      <c r="W128" s="6">
        <f>MEDIAN(0.05,R128+MEDIAN(-0.302219,P128+NORMSINV(I128)*0.089531*Config!$B$3,0.274961),0.999)</f>
        <v/>
      </c>
      <c r="X128" s="6">
        <f>(INDEX('Earth curves'!$F$2:$F$46,MAX(1,MIN(44,IFERROR(MATCH(W128,'Earth curves'!$E$2:$E$46,1),1))))+(W128-INDEX('Earth curves'!$E$2:$E$46,MAX(1,MIN(44,IFERROR(MATCH(W128,'Earth curves'!$E$2:$E$46,1),1)))))*(INDEX('Earth curves'!$F$2:$F$46,MAX(1,MIN(44,IFERROR(MATCH(W128,'Earth curves'!$E$2:$E$46,1),1)))+1)-INDEX('Earth curves'!$F$2:$F$46,MAX(1,MIN(44,IFERROR(MATCH(W128,'Earth curves'!$E$2:$E$46,1),1)))))/(INDEX('Earth curves'!$E$2:$E$46,MAX(1,MIN(44,IFERROR(MATCH(W128,'Earth curves'!$E$2:$E$46,1),1)))+1)-INDEX('Earth curves'!$E$2:$E$46,MAX(1,MIN(44,IFERROR(MATCH(W128,'Earth curves'!$E$2:$E$46,1),1))))))</f>
        <v/>
      </c>
      <c r="Y128" s="6">
        <f>(INDEX('Earth curves'!$G$2:$G$46,MAX(1,MIN(44,IFERROR(MATCH(W128,'Earth curves'!$E$2:$E$46,1),1))))+(W128-INDEX('Earth curves'!$E$2:$E$46,MAX(1,MIN(44,IFERROR(MATCH(W128,'Earth curves'!$E$2:$E$46,1),1)))))*(INDEX('Earth curves'!$G$2:$G$46,MAX(1,MIN(44,IFERROR(MATCH(W128,'Earth curves'!$E$2:$E$46,1),1)))+1)-INDEX('Earth curves'!$G$2:$G$46,MAX(1,MIN(44,IFERROR(MATCH(W128,'Earth curves'!$E$2:$E$46,1),1)))))/(INDEX('Earth curves'!$E$2:$E$46,MAX(1,MIN(44,IFERROR(MATCH(W128,'Earth curves'!$E$2:$E$46,1),1)))+1)-INDEX('Earth curves'!$E$2:$E$46,MAX(1,MIN(44,IFERROR(MATCH(W128,'Earth curves'!$E$2:$E$46,1),1))))))</f>
        <v/>
      </c>
      <c r="Z128" s="6">
        <f>(MIN(X128/Config!$B$9,1)+MIN(Y128/Config!$B$10,1))/2</f>
        <v/>
      </c>
      <c r="AA128" s="10">
        <f>ROUND(MIN(22,MAX(3,X128*W128/Z128)),1)</f>
        <v/>
      </c>
      <c r="AB128" s="11" t="n"/>
      <c r="AC128" s="10">
        <f>IF(AB128="",AA128,AB128)</f>
        <v/>
      </c>
      <c r="AD128" s="10">
        <f>ROUND(MIN(Config!$B$10,MAX(1,Y128*W128/Z128)),1)</f>
        <v/>
      </c>
      <c r="AE128" s="11" t="n"/>
      <c r="AF128" s="10">
        <f>IF(AE128="",AD128,AE128)</f>
        <v/>
      </c>
      <c r="AG128" s="9">
        <f>(V128-Config!$B$7)/(Config!$B$8-Config!$B$7)</f>
        <v/>
      </c>
      <c r="AH128" s="9">
        <f>(MIN(AC128/Config!$B$9,1)+MIN(AF128/Config!$B$10,1))/2</f>
        <v/>
      </c>
      <c r="AI128" s="12">
        <f>ROUND((AG128*AH128*G128)^(1/3),3)</f>
        <v/>
      </c>
      <c r="AJ128" s="12" t="n">
        <v>0.832</v>
      </c>
      <c r="AK128" s="13">
        <f>AI128-AJ128</f>
        <v/>
      </c>
      <c r="AL128" s="13">
        <f>AK128-AVERAGE($AK$2:$AK$173)</f>
        <v/>
      </c>
      <c r="AM128" s="6">
        <f>IF(ABS(AL128)&gt;Config!$B$11,"REVIEW","")</f>
        <v/>
      </c>
      <c r="AN128" s="14">
        <f>RANK(AI128,$AI$2:$AI$173)</f>
        <v/>
      </c>
      <c r="AO128" s="14">
        <f>RANK(AJ128,$AJ$2:$AJ$173)</f>
        <v/>
      </c>
      <c r="AP128" s="14" t="n">
        <v>128</v>
      </c>
    </row>
    <row r="129">
      <c r="A129" s="6" t="inlineStr">
        <is>
          <t>Shinam</t>
        </is>
      </c>
      <c r="B129" s="6" t="inlineStr">
        <is>
          <t>Massir</t>
        </is>
      </c>
      <c r="C129" s="6" t="inlineStr">
        <is>
          <t>resource</t>
        </is>
      </c>
      <c r="D129" s="7" t="n">
        <v>3937</v>
      </c>
      <c r="E129" s="8">
        <f>D129*Config!$B$4</f>
        <v/>
      </c>
      <c r="F129" s="6">
        <f>LN(MAX(60,E129))</f>
        <v/>
      </c>
      <c r="G129" s="9">
        <f>MEDIAN(0,(F129-LN(Config!$B$5))/(LN(Config!$B$6)-LN(Config!$B$5)),1)</f>
        <v/>
      </c>
      <c r="H129" s="6">
        <f>MOD((Config!$B$2+$AP129*7919)*9301+49297,233280)/233280</f>
        <v/>
      </c>
      <c r="I129" s="6">
        <f>MOD((Config!$B$2+$AP129*104729)*4096+150889,714025)/714025</f>
        <v/>
      </c>
      <c r="J129" s="6">
        <f>MOD((Config!$B$2*31+$AP129*15485863)*1366+150889,714025)/714025</f>
        <v/>
      </c>
      <c r="K129" s="6" t="n"/>
      <c r="L129" s="6" t="n"/>
      <c r="M129" s="6">
        <f>COUNTIF(Siblings!$A$2:$A$84,B129)</f>
        <v/>
      </c>
      <c r="N129" s="6">
        <f>1+INT(J129*M129)</f>
        <v/>
      </c>
      <c r="O129" s="6">
        <f>IF(K129&lt;&gt;"",K129,IFERROR(INDEX(Siblings!$D$2:$D$84,MATCH(B129&amp;"|"&amp;N129,Siblings!$F$2:$F$84,0)),0))</f>
        <v/>
      </c>
      <c r="P129" s="6">
        <f>IF(L129&lt;&gt;"",L129,IFERROR(INDEX(Siblings!$E$2:$E$84,MATCH(B129&amp;"|"&amp;N129,Siblings!$F$2:$F$84,0)),0))</f>
        <v/>
      </c>
      <c r="Q129" s="6">
        <f>(INDEX('Earth curves'!$B$2:$B$46,MAX(1,MIN(44,IFERROR(MATCH(F129,'Earth curves'!$A$2:$A$46,1),1))))+(F129-INDEX('Earth curves'!$A$2:$A$46,MAX(1,MIN(44,IFERROR(MATCH(F129,'Earth curves'!$A$2:$A$46,1),1)))))*(INDEX('Earth curves'!$B$2:$B$46,MAX(1,MIN(44,IFERROR(MATCH(F129,'Earth curves'!$A$2:$A$46,1),1)))+1)-INDEX('Earth curves'!$B$2:$B$46,MAX(1,MIN(44,IFERROR(MATCH(F129,'Earth curves'!$A$2:$A$46,1),1)))))/(INDEX('Earth curves'!$A$2:$A$46,MAX(1,MIN(44,IFERROR(MATCH(F129,'Earth curves'!$A$2:$A$46,1),1)))+1)-INDEX('Earth curves'!$A$2:$A$46,MAX(1,MIN(44,IFERROR(MATCH(F129,'Earth curves'!$A$2:$A$46,1),1))))))</f>
        <v/>
      </c>
      <c r="R129" s="6">
        <f>(INDEX('Earth curves'!$C$2:$C$46,MAX(1,MIN(44,IFERROR(MATCH(F129,'Earth curves'!$A$2:$A$46,1),1))))+(F129-INDEX('Earth curves'!$A$2:$A$46,MAX(1,MIN(44,IFERROR(MATCH(F129,'Earth curves'!$A$2:$A$46,1),1)))))*(INDEX('Earth curves'!$C$2:$C$46,MAX(1,MIN(44,IFERROR(MATCH(F129,'Earth curves'!$A$2:$A$46,1),1)))+1)-INDEX('Earth curves'!$C$2:$C$46,MAX(1,MIN(44,IFERROR(MATCH(F129,'Earth curves'!$A$2:$A$46,1),1)))))/(INDEX('Earth curves'!$A$2:$A$46,MAX(1,MIN(44,IFERROR(MATCH(F129,'Earth curves'!$A$2:$A$46,1),1)))+1)-INDEX('Earth curves'!$A$2:$A$46,MAX(1,MIN(44,IFERROR(MATCH(F129,'Earth curves'!$A$2:$A$46,1),1))))))</f>
        <v/>
      </c>
      <c r="S129" s="6">
        <f>MEDIAN(0.307692,Q129+MEDIAN(-0.350583,O129+NORMSINV(H129)*0.064828*Config!$B$3,0.120277),0.993846)</f>
        <v/>
      </c>
      <c r="T129" s="10">
        <f>ROUND(Config!$B$7+(Config!$B$8-Config!$B$7)*S129,1)</f>
        <v/>
      </c>
      <c r="U129" s="11" t="n"/>
      <c r="V129" s="10">
        <f>IF(U129="",T129,U129)</f>
        <v/>
      </c>
      <c r="W129" s="6">
        <f>MEDIAN(0.05,R129+MEDIAN(-0.302219,P129+NORMSINV(I129)*0.089531*Config!$B$3,0.274961),0.999)</f>
        <v/>
      </c>
      <c r="X129" s="6">
        <f>(INDEX('Earth curves'!$F$2:$F$46,MAX(1,MIN(44,IFERROR(MATCH(W129,'Earth curves'!$E$2:$E$46,1),1))))+(W129-INDEX('Earth curves'!$E$2:$E$46,MAX(1,MIN(44,IFERROR(MATCH(W129,'Earth curves'!$E$2:$E$46,1),1)))))*(INDEX('Earth curves'!$F$2:$F$46,MAX(1,MIN(44,IFERROR(MATCH(W129,'Earth curves'!$E$2:$E$46,1),1)))+1)-INDEX('Earth curves'!$F$2:$F$46,MAX(1,MIN(44,IFERROR(MATCH(W129,'Earth curves'!$E$2:$E$46,1),1)))))/(INDEX('Earth curves'!$E$2:$E$46,MAX(1,MIN(44,IFERROR(MATCH(W129,'Earth curves'!$E$2:$E$46,1),1)))+1)-INDEX('Earth curves'!$E$2:$E$46,MAX(1,MIN(44,IFERROR(MATCH(W129,'Earth curves'!$E$2:$E$46,1),1))))))</f>
        <v/>
      </c>
      <c r="Y129" s="6">
        <f>(INDEX('Earth curves'!$G$2:$G$46,MAX(1,MIN(44,IFERROR(MATCH(W129,'Earth curves'!$E$2:$E$46,1),1))))+(W129-INDEX('Earth curves'!$E$2:$E$46,MAX(1,MIN(44,IFERROR(MATCH(W129,'Earth curves'!$E$2:$E$46,1),1)))))*(INDEX('Earth curves'!$G$2:$G$46,MAX(1,MIN(44,IFERROR(MATCH(W129,'Earth curves'!$E$2:$E$46,1),1)))+1)-INDEX('Earth curves'!$G$2:$G$46,MAX(1,MIN(44,IFERROR(MATCH(W129,'Earth curves'!$E$2:$E$46,1),1)))))/(INDEX('Earth curves'!$E$2:$E$46,MAX(1,MIN(44,IFERROR(MATCH(W129,'Earth curves'!$E$2:$E$46,1),1)))+1)-INDEX('Earth curves'!$E$2:$E$46,MAX(1,MIN(44,IFERROR(MATCH(W129,'Earth curves'!$E$2:$E$46,1),1))))))</f>
        <v/>
      </c>
      <c r="Z129" s="6">
        <f>(MIN(X129/Config!$B$9,1)+MIN(Y129/Config!$B$10,1))/2</f>
        <v/>
      </c>
      <c r="AA129" s="10">
        <f>ROUND(MIN(22,MAX(3,X129*W129/Z129)),1)</f>
        <v/>
      </c>
      <c r="AB129" s="11" t="n"/>
      <c r="AC129" s="10">
        <f>IF(AB129="",AA129,AB129)</f>
        <v/>
      </c>
      <c r="AD129" s="10">
        <f>ROUND(MIN(Config!$B$10,MAX(1,Y129*W129/Z129)),1)</f>
        <v/>
      </c>
      <c r="AE129" s="11" t="n"/>
      <c r="AF129" s="10">
        <f>IF(AE129="",AD129,AE129)</f>
        <v/>
      </c>
      <c r="AG129" s="9">
        <f>(V129-Config!$B$7)/(Config!$B$8-Config!$B$7)</f>
        <v/>
      </c>
      <c r="AH129" s="9">
        <f>(MIN(AC129/Config!$B$9,1)+MIN(AF129/Config!$B$10,1))/2</f>
        <v/>
      </c>
      <c r="AI129" s="12">
        <f>ROUND((AG129*AH129*G129)^(1/3),3)</f>
        <v/>
      </c>
      <c r="AJ129" s="12" t="n">
        <v>0.543</v>
      </c>
      <c r="AK129" s="13">
        <f>AI129-AJ129</f>
        <v/>
      </c>
      <c r="AL129" s="13">
        <f>AK129-AVERAGE($AK$2:$AK$173)</f>
        <v/>
      </c>
      <c r="AM129" s="6">
        <f>IF(ABS(AL129)&gt;Config!$B$11,"REVIEW","")</f>
        <v/>
      </c>
      <c r="AN129" s="14">
        <f>RANK(AI129,$AI$2:$AI$173)</f>
        <v/>
      </c>
      <c r="AO129" s="14">
        <f>RANK(AJ129,$AJ$2:$AJ$173)</f>
        <v/>
      </c>
      <c r="AP129" s="14" t="n">
        <v>129</v>
      </c>
    </row>
    <row r="130">
      <c r="A130" s="6" t="inlineStr">
        <is>
          <t>Shomjind</t>
        </is>
      </c>
      <c r="B130" s="6" t="inlineStr">
        <is>
          <t>Quia</t>
        </is>
      </c>
      <c r="C130" s="6" t="inlineStr">
        <is>
          <t>militarised</t>
        </is>
      </c>
      <c r="D130" s="7" t="n">
        <v>3175</v>
      </c>
      <c r="E130" s="8">
        <f>D130*Config!$B$4</f>
        <v/>
      </c>
      <c r="F130" s="6">
        <f>LN(MAX(60,E130))</f>
        <v/>
      </c>
      <c r="G130" s="9">
        <f>MEDIAN(0,(F130-LN(Config!$B$5))/(LN(Config!$B$6)-LN(Config!$B$5)),1)</f>
        <v/>
      </c>
      <c r="H130" s="6">
        <f>MOD((Config!$B$2+$AP130*7919)*9301+49297,233280)/233280</f>
        <v/>
      </c>
      <c r="I130" s="6">
        <f>MOD((Config!$B$2+$AP130*104729)*4096+150889,714025)/714025</f>
        <v/>
      </c>
      <c r="J130" s="6">
        <f>MOD((Config!$B$2*31+$AP130*15485863)*1366+150889,714025)/714025</f>
        <v/>
      </c>
      <c r="K130" s="6" t="n"/>
      <c r="L130" s="6" t="n"/>
      <c r="M130" s="6">
        <f>COUNTIF(Siblings!$A$2:$A$84,B130)</f>
        <v/>
      </c>
      <c r="N130" s="6">
        <f>1+INT(J130*M130)</f>
        <v/>
      </c>
      <c r="O130" s="6">
        <f>IF(K130&lt;&gt;"",K130,IFERROR(INDEX(Siblings!$D$2:$D$84,MATCH(B130&amp;"|"&amp;N130,Siblings!$F$2:$F$84,0)),0))</f>
        <v/>
      </c>
      <c r="P130" s="6">
        <f>IF(L130&lt;&gt;"",L130,IFERROR(INDEX(Siblings!$E$2:$E$84,MATCH(B130&amp;"|"&amp;N130,Siblings!$F$2:$F$84,0)),0))</f>
        <v/>
      </c>
      <c r="Q130" s="6">
        <f>(INDEX('Earth curves'!$B$2:$B$46,MAX(1,MIN(44,IFERROR(MATCH(F130,'Earth curves'!$A$2:$A$46,1),1))))+(F130-INDEX('Earth curves'!$A$2:$A$46,MAX(1,MIN(44,IFERROR(MATCH(F130,'Earth curves'!$A$2:$A$46,1),1)))))*(INDEX('Earth curves'!$B$2:$B$46,MAX(1,MIN(44,IFERROR(MATCH(F130,'Earth curves'!$A$2:$A$46,1),1)))+1)-INDEX('Earth curves'!$B$2:$B$46,MAX(1,MIN(44,IFERROR(MATCH(F130,'Earth curves'!$A$2:$A$46,1),1)))))/(INDEX('Earth curves'!$A$2:$A$46,MAX(1,MIN(44,IFERROR(MATCH(F130,'Earth curves'!$A$2:$A$46,1),1)))+1)-INDEX('Earth curves'!$A$2:$A$46,MAX(1,MIN(44,IFERROR(MATCH(F130,'Earth curves'!$A$2:$A$46,1),1))))))</f>
        <v/>
      </c>
      <c r="R130" s="6">
        <f>(INDEX('Earth curves'!$C$2:$C$46,MAX(1,MIN(44,IFERROR(MATCH(F130,'Earth curves'!$A$2:$A$46,1),1))))+(F130-INDEX('Earth curves'!$A$2:$A$46,MAX(1,MIN(44,IFERROR(MATCH(F130,'Earth curves'!$A$2:$A$46,1),1)))))*(INDEX('Earth curves'!$C$2:$C$46,MAX(1,MIN(44,IFERROR(MATCH(F130,'Earth curves'!$A$2:$A$46,1),1)))+1)-INDEX('Earth curves'!$C$2:$C$46,MAX(1,MIN(44,IFERROR(MATCH(F130,'Earth curves'!$A$2:$A$46,1),1)))))/(INDEX('Earth curves'!$A$2:$A$46,MAX(1,MIN(44,IFERROR(MATCH(F130,'Earth curves'!$A$2:$A$46,1),1)))+1)-INDEX('Earth curves'!$A$2:$A$46,MAX(1,MIN(44,IFERROR(MATCH(F130,'Earth curves'!$A$2:$A$46,1),1))))))</f>
        <v/>
      </c>
      <c r="S130" s="6">
        <f>MEDIAN(0.307692,Q130+MEDIAN(-0.350583,O130+NORMSINV(H130)*0.064828*Config!$B$3,0.120277),0.993846)</f>
        <v/>
      </c>
      <c r="T130" s="10">
        <f>ROUND(Config!$B$7+(Config!$B$8-Config!$B$7)*S130,1)</f>
        <v/>
      </c>
      <c r="U130" s="11" t="n"/>
      <c r="V130" s="10">
        <f>IF(U130="",T130,U130)</f>
        <v/>
      </c>
      <c r="W130" s="6">
        <f>MEDIAN(0.05,R130+MEDIAN(-0.302219,P130+NORMSINV(I130)*0.089531*Config!$B$3,0.274961),0.999)</f>
        <v/>
      </c>
      <c r="X130" s="6">
        <f>(INDEX('Earth curves'!$F$2:$F$46,MAX(1,MIN(44,IFERROR(MATCH(W130,'Earth curves'!$E$2:$E$46,1),1))))+(W130-INDEX('Earth curves'!$E$2:$E$46,MAX(1,MIN(44,IFERROR(MATCH(W130,'Earth curves'!$E$2:$E$46,1),1)))))*(INDEX('Earth curves'!$F$2:$F$46,MAX(1,MIN(44,IFERROR(MATCH(W130,'Earth curves'!$E$2:$E$46,1),1)))+1)-INDEX('Earth curves'!$F$2:$F$46,MAX(1,MIN(44,IFERROR(MATCH(W130,'Earth curves'!$E$2:$E$46,1),1)))))/(INDEX('Earth curves'!$E$2:$E$46,MAX(1,MIN(44,IFERROR(MATCH(W130,'Earth curves'!$E$2:$E$46,1),1)))+1)-INDEX('Earth curves'!$E$2:$E$46,MAX(1,MIN(44,IFERROR(MATCH(W130,'Earth curves'!$E$2:$E$46,1),1))))))</f>
        <v/>
      </c>
      <c r="Y130" s="6">
        <f>(INDEX('Earth curves'!$G$2:$G$46,MAX(1,MIN(44,IFERROR(MATCH(W130,'Earth curves'!$E$2:$E$46,1),1))))+(W130-INDEX('Earth curves'!$E$2:$E$46,MAX(1,MIN(44,IFERROR(MATCH(W130,'Earth curves'!$E$2:$E$46,1),1)))))*(INDEX('Earth curves'!$G$2:$G$46,MAX(1,MIN(44,IFERROR(MATCH(W130,'Earth curves'!$E$2:$E$46,1),1)))+1)-INDEX('Earth curves'!$G$2:$G$46,MAX(1,MIN(44,IFERROR(MATCH(W130,'Earth curves'!$E$2:$E$46,1),1)))))/(INDEX('Earth curves'!$E$2:$E$46,MAX(1,MIN(44,IFERROR(MATCH(W130,'Earth curves'!$E$2:$E$46,1),1)))+1)-INDEX('Earth curves'!$E$2:$E$46,MAX(1,MIN(44,IFERROR(MATCH(W130,'Earth curves'!$E$2:$E$46,1),1))))))</f>
        <v/>
      </c>
      <c r="Z130" s="6">
        <f>(MIN(X130/Config!$B$9,1)+MIN(Y130/Config!$B$10,1))/2</f>
        <v/>
      </c>
      <c r="AA130" s="10">
        <f>ROUND(MIN(22,MAX(3,X130*W130/Z130)),1)</f>
        <v/>
      </c>
      <c r="AB130" s="11" t="n"/>
      <c r="AC130" s="10">
        <f>IF(AB130="",AA130,AB130)</f>
        <v/>
      </c>
      <c r="AD130" s="10">
        <f>ROUND(MIN(Config!$B$10,MAX(1,Y130*W130/Z130)),1)</f>
        <v/>
      </c>
      <c r="AE130" s="11" t="n"/>
      <c r="AF130" s="10">
        <f>IF(AE130="",AD130,AE130)</f>
        <v/>
      </c>
      <c r="AG130" s="9">
        <f>(V130-Config!$B$7)/(Config!$B$8-Config!$B$7)</f>
        <v/>
      </c>
      <c r="AH130" s="9">
        <f>(MIN(AC130/Config!$B$9,1)+MIN(AF130/Config!$B$10,1))/2</f>
        <v/>
      </c>
      <c r="AI130" s="12">
        <f>ROUND((AG130*AH130*G130)^(1/3),3)</f>
        <v/>
      </c>
      <c r="AJ130" s="12" t="n">
        <v>0.388</v>
      </c>
      <c r="AK130" s="13">
        <f>AI130-AJ130</f>
        <v/>
      </c>
      <c r="AL130" s="13">
        <f>AK130-AVERAGE($AK$2:$AK$173)</f>
        <v/>
      </c>
      <c r="AM130" s="6">
        <f>IF(ABS(AL130)&gt;Config!$B$11,"REVIEW","")</f>
        <v/>
      </c>
      <c r="AN130" s="14">
        <f>RANK(AI130,$AI$2:$AI$173)</f>
        <v/>
      </c>
      <c r="AO130" s="14">
        <f>RANK(AJ130,$AJ$2:$AJ$173)</f>
        <v/>
      </c>
      <c r="AP130" s="14" t="n">
        <v>130</v>
      </c>
    </row>
    <row r="131">
      <c r="A131" s="6" t="inlineStr">
        <is>
          <t>Siana</t>
        </is>
      </c>
      <c r="B131" s="6" t="inlineStr">
        <is>
          <t>Ayuma</t>
        </is>
      </c>
      <c r="C131" s="6" t="inlineStr">
        <is>
          <t>resource, university</t>
        </is>
      </c>
      <c r="D131" s="7" t="n">
        <v>152698</v>
      </c>
      <c r="E131" s="8">
        <f>D131*Config!$B$4</f>
        <v/>
      </c>
      <c r="F131" s="6">
        <f>LN(MAX(60,E131))</f>
        <v/>
      </c>
      <c r="G131" s="9">
        <f>MEDIAN(0,(F131-LN(Config!$B$5))/(LN(Config!$B$6)-LN(Config!$B$5)),1)</f>
        <v/>
      </c>
      <c r="H131" s="6">
        <f>MOD((Config!$B$2+$AP131*7919)*9301+49297,233280)/233280</f>
        <v/>
      </c>
      <c r="I131" s="6">
        <f>MOD((Config!$B$2+$AP131*104729)*4096+150889,714025)/714025</f>
        <v/>
      </c>
      <c r="J131" s="6">
        <f>MOD((Config!$B$2*31+$AP131*15485863)*1366+150889,714025)/714025</f>
        <v/>
      </c>
      <c r="K131" s="6" t="n"/>
      <c r="L131" s="6" t="n"/>
      <c r="M131" s="6">
        <f>COUNTIF(Siblings!$A$2:$A$84,B131)</f>
        <v/>
      </c>
      <c r="N131" s="6">
        <f>1+INT(J131*M131)</f>
        <v/>
      </c>
      <c r="O131" s="6">
        <f>IF(K131&lt;&gt;"",K131,IFERROR(INDEX(Siblings!$D$2:$D$84,MATCH(B131&amp;"|"&amp;N131,Siblings!$F$2:$F$84,0)),0))</f>
        <v/>
      </c>
      <c r="P131" s="6">
        <f>IF(L131&lt;&gt;"",L131,IFERROR(INDEX(Siblings!$E$2:$E$84,MATCH(B131&amp;"|"&amp;N131,Siblings!$F$2:$F$84,0)),0))</f>
        <v/>
      </c>
      <c r="Q131" s="6">
        <f>(INDEX('Earth curves'!$B$2:$B$46,MAX(1,MIN(44,IFERROR(MATCH(F131,'Earth curves'!$A$2:$A$46,1),1))))+(F131-INDEX('Earth curves'!$A$2:$A$46,MAX(1,MIN(44,IFERROR(MATCH(F131,'Earth curves'!$A$2:$A$46,1),1)))))*(INDEX('Earth curves'!$B$2:$B$46,MAX(1,MIN(44,IFERROR(MATCH(F131,'Earth curves'!$A$2:$A$46,1),1)))+1)-INDEX('Earth curves'!$B$2:$B$46,MAX(1,MIN(44,IFERROR(MATCH(F131,'Earth curves'!$A$2:$A$46,1),1)))))/(INDEX('Earth curves'!$A$2:$A$46,MAX(1,MIN(44,IFERROR(MATCH(F131,'Earth curves'!$A$2:$A$46,1),1)))+1)-INDEX('Earth curves'!$A$2:$A$46,MAX(1,MIN(44,IFERROR(MATCH(F131,'Earth curves'!$A$2:$A$46,1),1))))))</f>
        <v/>
      </c>
      <c r="R131" s="6">
        <f>(INDEX('Earth curves'!$C$2:$C$46,MAX(1,MIN(44,IFERROR(MATCH(F131,'Earth curves'!$A$2:$A$46,1),1))))+(F131-INDEX('Earth curves'!$A$2:$A$46,MAX(1,MIN(44,IFERROR(MATCH(F131,'Earth curves'!$A$2:$A$46,1),1)))))*(INDEX('Earth curves'!$C$2:$C$46,MAX(1,MIN(44,IFERROR(MATCH(F131,'Earth curves'!$A$2:$A$46,1),1)))+1)-INDEX('Earth curves'!$C$2:$C$46,MAX(1,MIN(44,IFERROR(MATCH(F131,'Earth curves'!$A$2:$A$46,1),1)))))/(INDEX('Earth curves'!$A$2:$A$46,MAX(1,MIN(44,IFERROR(MATCH(F131,'Earth curves'!$A$2:$A$46,1),1)))+1)-INDEX('Earth curves'!$A$2:$A$46,MAX(1,MIN(44,IFERROR(MATCH(F131,'Earth curves'!$A$2:$A$46,1),1))))))</f>
        <v/>
      </c>
      <c r="S131" s="6">
        <f>MEDIAN(0.307692,Q131+MEDIAN(-0.350583,O131+NORMSINV(H131)*0.064828*Config!$B$3,0.120277),0.993846)</f>
        <v/>
      </c>
      <c r="T131" s="10">
        <f>ROUND(Config!$B$7+(Config!$B$8-Config!$B$7)*S131,1)</f>
        <v/>
      </c>
      <c r="U131" s="11" t="n"/>
      <c r="V131" s="10">
        <f>IF(U131="",T131,U131)</f>
        <v/>
      </c>
      <c r="W131" s="6">
        <f>MEDIAN(0.05,R131+MEDIAN(-0.302219,P131+NORMSINV(I131)*0.089531*Config!$B$3,0.274961),0.999)</f>
        <v/>
      </c>
      <c r="X131" s="6">
        <f>(INDEX('Earth curves'!$F$2:$F$46,MAX(1,MIN(44,IFERROR(MATCH(W131,'Earth curves'!$E$2:$E$46,1),1))))+(W131-INDEX('Earth curves'!$E$2:$E$46,MAX(1,MIN(44,IFERROR(MATCH(W131,'Earth curves'!$E$2:$E$46,1),1)))))*(INDEX('Earth curves'!$F$2:$F$46,MAX(1,MIN(44,IFERROR(MATCH(W131,'Earth curves'!$E$2:$E$46,1),1)))+1)-INDEX('Earth curves'!$F$2:$F$46,MAX(1,MIN(44,IFERROR(MATCH(W131,'Earth curves'!$E$2:$E$46,1),1)))))/(INDEX('Earth curves'!$E$2:$E$46,MAX(1,MIN(44,IFERROR(MATCH(W131,'Earth curves'!$E$2:$E$46,1),1)))+1)-INDEX('Earth curves'!$E$2:$E$46,MAX(1,MIN(44,IFERROR(MATCH(W131,'Earth curves'!$E$2:$E$46,1),1))))))</f>
        <v/>
      </c>
      <c r="Y131" s="6">
        <f>(INDEX('Earth curves'!$G$2:$G$46,MAX(1,MIN(44,IFERROR(MATCH(W131,'Earth curves'!$E$2:$E$46,1),1))))+(W131-INDEX('Earth curves'!$E$2:$E$46,MAX(1,MIN(44,IFERROR(MATCH(W131,'Earth curves'!$E$2:$E$46,1),1)))))*(INDEX('Earth curves'!$G$2:$G$46,MAX(1,MIN(44,IFERROR(MATCH(W131,'Earth curves'!$E$2:$E$46,1),1)))+1)-INDEX('Earth curves'!$G$2:$G$46,MAX(1,MIN(44,IFERROR(MATCH(W131,'Earth curves'!$E$2:$E$46,1),1)))))/(INDEX('Earth curves'!$E$2:$E$46,MAX(1,MIN(44,IFERROR(MATCH(W131,'Earth curves'!$E$2:$E$46,1),1)))+1)-INDEX('Earth curves'!$E$2:$E$46,MAX(1,MIN(44,IFERROR(MATCH(W131,'Earth curves'!$E$2:$E$46,1),1))))))</f>
        <v/>
      </c>
      <c r="Z131" s="6">
        <f>(MIN(X131/Config!$B$9,1)+MIN(Y131/Config!$B$10,1))/2</f>
        <v/>
      </c>
      <c r="AA131" s="10">
        <f>ROUND(MIN(22,MAX(3,X131*W131/Z131)),1)</f>
        <v/>
      </c>
      <c r="AB131" s="11" t="n"/>
      <c r="AC131" s="10">
        <f>IF(AB131="",AA131,AB131)</f>
        <v/>
      </c>
      <c r="AD131" s="10">
        <f>ROUND(MIN(Config!$B$10,MAX(1,Y131*W131/Z131)),1)</f>
        <v/>
      </c>
      <c r="AE131" s="11" t="n"/>
      <c r="AF131" s="10">
        <f>IF(AE131="",AD131,AE131)</f>
        <v/>
      </c>
      <c r="AG131" s="9">
        <f>(V131-Config!$B$7)/(Config!$B$8-Config!$B$7)</f>
        <v/>
      </c>
      <c r="AH131" s="9">
        <f>(MIN(AC131/Config!$B$9,1)+MIN(AF131/Config!$B$10,1))/2</f>
        <v/>
      </c>
      <c r="AI131" s="12">
        <f>ROUND((AG131*AH131*G131)^(1/3),3)</f>
        <v/>
      </c>
      <c r="AJ131" s="12" t="n">
        <v>0.96</v>
      </c>
      <c r="AK131" s="13">
        <f>AI131-AJ131</f>
        <v/>
      </c>
      <c r="AL131" s="13">
        <f>AK131-AVERAGE($AK$2:$AK$173)</f>
        <v/>
      </c>
      <c r="AM131" s="6">
        <f>IF(ABS(AL131)&gt;Config!$B$11,"REVIEW","")</f>
        <v/>
      </c>
      <c r="AN131" s="14">
        <f>RANK(AI131,$AI$2:$AI$173)</f>
        <v/>
      </c>
      <c r="AO131" s="14">
        <f>RANK(AJ131,$AJ$2:$AJ$173)</f>
        <v/>
      </c>
      <c r="AP131" s="14" t="n">
        <v>131</v>
      </c>
    </row>
    <row r="132">
      <c r="A132" s="6" t="inlineStr">
        <is>
          <t>Sivoso</t>
        </is>
      </c>
      <c r="B132" s="6" t="inlineStr">
        <is>
          <t>Mahea</t>
        </is>
      </c>
      <c r="C132" s="6" t="inlineStr">
        <is>
          <t>resource</t>
        </is>
      </c>
      <c r="D132" s="7" t="n">
        <v>29619</v>
      </c>
      <c r="E132" s="8">
        <f>D132*Config!$B$4</f>
        <v/>
      </c>
      <c r="F132" s="6">
        <f>LN(MAX(60,E132))</f>
        <v/>
      </c>
      <c r="G132" s="9">
        <f>MEDIAN(0,(F132-LN(Config!$B$5))/(LN(Config!$B$6)-LN(Config!$B$5)),1)</f>
        <v/>
      </c>
      <c r="H132" s="6">
        <f>MOD((Config!$B$2+$AP132*7919)*9301+49297,233280)/233280</f>
        <v/>
      </c>
      <c r="I132" s="6">
        <f>MOD((Config!$B$2+$AP132*104729)*4096+150889,714025)/714025</f>
        <v/>
      </c>
      <c r="J132" s="6">
        <f>MOD((Config!$B$2*31+$AP132*15485863)*1366+150889,714025)/714025</f>
        <v/>
      </c>
      <c r="K132" s="6" t="n">
        <v>0.020166</v>
      </c>
      <c r="L132" s="6" t="n">
        <v>-0.007089</v>
      </c>
      <c r="M132" s="6">
        <f>COUNTIF(Siblings!$A$2:$A$84,B132)</f>
        <v/>
      </c>
      <c r="N132" s="6">
        <f>1+INT(J132*M132)</f>
        <v/>
      </c>
      <c r="O132" s="6">
        <f>IF(K132&lt;&gt;"",K132,IFERROR(INDEX(Siblings!$D$2:$D$84,MATCH(B132&amp;"|"&amp;N132,Siblings!$F$2:$F$84,0)),0))</f>
        <v/>
      </c>
      <c r="P132" s="6">
        <f>IF(L132&lt;&gt;"",L132,IFERROR(INDEX(Siblings!$E$2:$E$84,MATCH(B132&amp;"|"&amp;N132,Siblings!$F$2:$F$84,0)),0))</f>
        <v/>
      </c>
      <c r="Q132" s="6">
        <f>(INDEX('Earth curves'!$B$2:$B$46,MAX(1,MIN(44,IFERROR(MATCH(F132,'Earth curves'!$A$2:$A$46,1),1))))+(F132-INDEX('Earth curves'!$A$2:$A$46,MAX(1,MIN(44,IFERROR(MATCH(F132,'Earth curves'!$A$2:$A$46,1),1)))))*(INDEX('Earth curves'!$B$2:$B$46,MAX(1,MIN(44,IFERROR(MATCH(F132,'Earth curves'!$A$2:$A$46,1),1)))+1)-INDEX('Earth curves'!$B$2:$B$46,MAX(1,MIN(44,IFERROR(MATCH(F132,'Earth curves'!$A$2:$A$46,1),1)))))/(INDEX('Earth curves'!$A$2:$A$46,MAX(1,MIN(44,IFERROR(MATCH(F132,'Earth curves'!$A$2:$A$46,1),1)))+1)-INDEX('Earth curves'!$A$2:$A$46,MAX(1,MIN(44,IFERROR(MATCH(F132,'Earth curves'!$A$2:$A$46,1),1))))))</f>
        <v/>
      </c>
      <c r="R132" s="6">
        <f>(INDEX('Earth curves'!$C$2:$C$46,MAX(1,MIN(44,IFERROR(MATCH(F132,'Earth curves'!$A$2:$A$46,1),1))))+(F132-INDEX('Earth curves'!$A$2:$A$46,MAX(1,MIN(44,IFERROR(MATCH(F132,'Earth curves'!$A$2:$A$46,1),1)))))*(INDEX('Earth curves'!$C$2:$C$46,MAX(1,MIN(44,IFERROR(MATCH(F132,'Earth curves'!$A$2:$A$46,1),1)))+1)-INDEX('Earth curves'!$C$2:$C$46,MAX(1,MIN(44,IFERROR(MATCH(F132,'Earth curves'!$A$2:$A$46,1),1)))))/(INDEX('Earth curves'!$A$2:$A$46,MAX(1,MIN(44,IFERROR(MATCH(F132,'Earth curves'!$A$2:$A$46,1),1)))+1)-INDEX('Earth curves'!$A$2:$A$46,MAX(1,MIN(44,IFERROR(MATCH(F132,'Earth curves'!$A$2:$A$46,1),1))))))</f>
        <v/>
      </c>
      <c r="S132" s="6">
        <f>MEDIAN(0.307692,Q132+MEDIAN(-0.350583,O132+NORMSINV(H132)*0.064828*Config!$B$3,0.120277),0.993846)</f>
        <v/>
      </c>
      <c r="T132" s="10">
        <f>ROUND(Config!$B$7+(Config!$B$8-Config!$B$7)*S132,1)</f>
        <v/>
      </c>
      <c r="U132" s="11" t="n"/>
      <c r="V132" s="10">
        <f>IF(U132="",T132,U132)</f>
        <v/>
      </c>
      <c r="W132" s="6">
        <f>MEDIAN(0.05,R132+MEDIAN(-0.302219,P132+NORMSINV(I132)*0.089531*Config!$B$3,0.274961),0.999)</f>
        <v/>
      </c>
      <c r="X132" s="6">
        <f>(INDEX('Earth curves'!$F$2:$F$46,MAX(1,MIN(44,IFERROR(MATCH(W132,'Earth curves'!$E$2:$E$46,1),1))))+(W132-INDEX('Earth curves'!$E$2:$E$46,MAX(1,MIN(44,IFERROR(MATCH(W132,'Earth curves'!$E$2:$E$46,1),1)))))*(INDEX('Earth curves'!$F$2:$F$46,MAX(1,MIN(44,IFERROR(MATCH(W132,'Earth curves'!$E$2:$E$46,1),1)))+1)-INDEX('Earth curves'!$F$2:$F$46,MAX(1,MIN(44,IFERROR(MATCH(W132,'Earth curves'!$E$2:$E$46,1),1)))))/(INDEX('Earth curves'!$E$2:$E$46,MAX(1,MIN(44,IFERROR(MATCH(W132,'Earth curves'!$E$2:$E$46,1),1)))+1)-INDEX('Earth curves'!$E$2:$E$46,MAX(1,MIN(44,IFERROR(MATCH(W132,'Earth curves'!$E$2:$E$46,1),1))))))</f>
        <v/>
      </c>
      <c r="Y132" s="6">
        <f>(INDEX('Earth curves'!$G$2:$G$46,MAX(1,MIN(44,IFERROR(MATCH(W132,'Earth curves'!$E$2:$E$46,1),1))))+(W132-INDEX('Earth curves'!$E$2:$E$46,MAX(1,MIN(44,IFERROR(MATCH(W132,'Earth curves'!$E$2:$E$46,1),1)))))*(INDEX('Earth curves'!$G$2:$G$46,MAX(1,MIN(44,IFERROR(MATCH(W132,'Earth curves'!$E$2:$E$46,1),1)))+1)-INDEX('Earth curves'!$G$2:$G$46,MAX(1,MIN(44,IFERROR(MATCH(W132,'Earth curves'!$E$2:$E$46,1),1)))))/(INDEX('Earth curves'!$E$2:$E$46,MAX(1,MIN(44,IFERROR(MATCH(W132,'Earth curves'!$E$2:$E$46,1),1)))+1)-INDEX('Earth curves'!$E$2:$E$46,MAX(1,MIN(44,IFERROR(MATCH(W132,'Earth curves'!$E$2:$E$46,1),1))))))</f>
        <v/>
      </c>
      <c r="Z132" s="6">
        <f>(MIN(X132/Config!$B$9,1)+MIN(Y132/Config!$B$10,1))/2</f>
        <v/>
      </c>
      <c r="AA132" s="10">
        <f>ROUND(MIN(22,MAX(3,X132*W132/Z132)),1)</f>
        <v/>
      </c>
      <c r="AB132" s="11" t="n"/>
      <c r="AC132" s="10">
        <f>IF(AB132="",AA132,AB132)</f>
        <v/>
      </c>
      <c r="AD132" s="10">
        <f>ROUND(MIN(Config!$B$10,MAX(1,Y132*W132/Z132)),1)</f>
        <v/>
      </c>
      <c r="AE132" s="11" t="n"/>
      <c r="AF132" s="10">
        <f>IF(AE132="",AD132,AE132)</f>
        <v/>
      </c>
      <c r="AG132" s="9">
        <f>(V132-Config!$B$7)/(Config!$B$8-Config!$B$7)</f>
        <v/>
      </c>
      <c r="AH132" s="9">
        <f>(MIN(AC132/Config!$B$9,1)+MIN(AF132/Config!$B$10,1))/2</f>
        <v/>
      </c>
      <c r="AI132" s="12">
        <f>ROUND((AG132*AH132*G132)^(1/3),3)</f>
        <v/>
      </c>
      <c r="AJ132" s="12" t="n">
        <v>0.745</v>
      </c>
      <c r="AK132" s="13">
        <f>AI132-AJ132</f>
        <v/>
      </c>
      <c r="AL132" s="13">
        <f>AK132-AVERAGE($AK$2:$AK$173)</f>
        <v/>
      </c>
      <c r="AM132" s="6">
        <f>IF(ABS(AL132)&gt;Config!$B$11,"REVIEW","")</f>
        <v/>
      </c>
      <c r="AN132" s="14">
        <f>RANK(AI132,$AI$2:$AI$173)</f>
        <v/>
      </c>
      <c r="AO132" s="14">
        <f>RANK(AJ132,$AJ$2:$AJ$173)</f>
        <v/>
      </c>
      <c r="AP132" s="14" t="n">
        <v>132</v>
      </c>
    </row>
    <row r="133">
      <c r="A133" s="6" t="inlineStr">
        <is>
          <t>Slyiaduun</t>
        </is>
      </c>
      <c r="B133" s="6" t="inlineStr">
        <is>
          <t>Atirha</t>
        </is>
      </c>
      <c r="C133" s="6" t="inlineStr">
        <is>
          <t>—</t>
        </is>
      </c>
      <c r="D133" s="7" t="n">
        <v>32063</v>
      </c>
      <c r="E133" s="8">
        <f>D133*Config!$B$4</f>
        <v/>
      </c>
      <c r="F133" s="6">
        <f>LN(MAX(60,E133))</f>
        <v/>
      </c>
      <c r="G133" s="9">
        <f>MEDIAN(0,(F133-LN(Config!$B$5))/(LN(Config!$B$6)-LN(Config!$B$5)),1)</f>
        <v/>
      </c>
      <c r="H133" s="6">
        <f>MOD((Config!$B$2+$AP133*7919)*9301+49297,233280)/233280</f>
        <v/>
      </c>
      <c r="I133" s="6">
        <f>MOD((Config!$B$2+$AP133*104729)*4096+150889,714025)/714025</f>
        <v/>
      </c>
      <c r="J133" s="6">
        <f>MOD((Config!$B$2*31+$AP133*15485863)*1366+150889,714025)/714025</f>
        <v/>
      </c>
      <c r="K133" s="6" t="n"/>
      <c r="L133" s="6" t="n"/>
      <c r="M133" s="6">
        <f>COUNTIF(Siblings!$A$2:$A$84,B133)</f>
        <v/>
      </c>
      <c r="N133" s="6">
        <f>1+INT(J133*M133)</f>
        <v/>
      </c>
      <c r="O133" s="6">
        <f>IF(K133&lt;&gt;"",K133,IFERROR(INDEX(Siblings!$D$2:$D$84,MATCH(B133&amp;"|"&amp;N133,Siblings!$F$2:$F$84,0)),0))</f>
        <v/>
      </c>
      <c r="P133" s="6">
        <f>IF(L133&lt;&gt;"",L133,IFERROR(INDEX(Siblings!$E$2:$E$84,MATCH(B133&amp;"|"&amp;N133,Siblings!$F$2:$F$84,0)),0))</f>
        <v/>
      </c>
      <c r="Q133" s="6">
        <f>(INDEX('Earth curves'!$B$2:$B$46,MAX(1,MIN(44,IFERROR(MATCH(F133,'Earth curves'!$A$2:$A$46,1),1))))+(F133-INDEX('Earth curves'!$A$2:$A$46,MAX(1,MIN(44,IFERROR(MATCH(F133,'Earth curves'!$A$2:$A$46,1),1)))))*(INDEX('Earth curves'!$B$2:$B$46,MAX(1,MIN(44,IFERROR(MATCH(F133,'Earth curves'!$A$2:$A$46,1),1)))+1)-INDEX('Earth curves'!$B$2:$B$46,MAX(1,MIN(44,IFERROR(MATCH(F133,'Earth curves'!$A$2:$A$46,1),1)))))/(INDEX('Earth curves'!$A$2:$A$46,MAX(1,MIN(44,IFERROR(MATCH(F133,'Earth curves'!$A$2:$A$46,1),1)))+1)-INDEX('Earth curves'!$A$2:$A$46,MAX(1,MIN(44,IFERROR(MATCH(F133,'Earth curves'!$A$2:$A$46,1),1))))))</f>
        <v/>
      </c>
      <c r="R133" s="6">
        <f>(INDEX('Earth curves'!$C$2:$C$46,MAX(1,MIN(44,IFERROR(MATCH(F133,'Earth curves'!$A$2:$A$46,1),1))))+(F133-INDEX('Earth curves'!$A$2:$A$46,MAX(1,MIN(44,IFERROR(MATCH(F133,'Earth curves'!$A$2:$A$46,1),1)))))*(INDEX('Earth curves'!$C$2:$C$46,MAX(1,MIN(44,IFERROR(MATCH(F133,'Earth curves'!$A$2:$A$46,1),1)))+1)-INDEX('Earth curves'!$C$2:$C$46,MAX(1,MIN(44,IFERROR(MATCH(F133,'Earth curves'!$A$2:$A$46,1),1)))))/(INDEX('Earth curves'!$A$2:$A$46,MAX(1,MIN(44,IFERROR(MATCH(F133,'Earth curves'!$A$2:$A$46,1),1)))+1)-INDEX('Earth curves'!$A$2:$A$46,MAX(1,MIN(44,IFERROR(MATCH(F133,'Earth curves'!$A$2:$A$46,1),1))))))</f>
        <v/>
      </c>
      <c r="S133" s="6">
        <f>MEDIAN(0.307692,Q133+MEDIAN(-0.350583,O133+NORMSINV(H133)*0.064828*Config!$B$3,0.120277),0.993846)</f>
        <v/>
      </c>
      <c r="T133" s="10">
        <f>ROUND(Config!$B$7+(Config!$B$8-Config!$B$7)*S133,1)</f>
        <v/>
      </c>
      <c r="U133" s="11" t="n"/>
      <c r="V133" s="10">
        <f>IF(U133="",T133,U133)</f>
        <v/>
      </c>
      <c r="W133" s="6">
        <f>MEDIAN(0.05,R133+MEDIAN(-0.302219,P133+NORMSINV(I133)*0.089531*Config!$B$3,0.274961),0.999)</f>
        <v/>
      </c>
      <c r="X133" s="6">
        <f>(INDEX('Earth curves'!$F$2:$F$46,MAX(1,MIN(44,IFERROR(MATCH(W133,'Earth curves'!$E$2:$E$46,1),1))))+(W133-INDEX('Earth curves'!$E$2:$E$46,MAX(1,MIN(44,IFERROR(MATCH(W133,'Earth curves'!$E$2:$E$46,1),1)))))*(INDEX('Earth curves'!$F$2:$F$46,MAX(1,MIN(44,IFERROR(MATCH(W133,'Earth curves'!$E$2:$E$46,1),1)))+1)-INDEX('Earth curves'!$F$2:$F$46,MAX(1,MIN(44,IFERROR(MATCH(W133,'Earth curves'!$E$2:$E$46,1),1)))))/(INDEX('Earth curves'!$E$2:$E$46,MAX(1,MIN(44,IFERROR(MATCH(W133,'Earth curves'!$E$2:$E$46,1),1)))+1)-INDEX('Earth curves'!$E$2:$E$46,MAX(1,MIN(44,IFERROR(MATCH(W133,'Earth curves'!$E$2:$E$46,1),1))))))</f>
        <v/>
      </c>
      <c r="Y133" s="6">
        <f>(INDEX('Earth curves'!$G$2:$G$46,MAX(1,MIN(44,IFERROR(MATCH(W133,'Earth curves'!$E$2:$E$46,1),1))))+(W133-INDEX('Earth curves'!$E$2:$E$46,MAX(1,MIN(44,IFERROR(MATCH(W133,'Earth curves'!$E$2:$E$46,1),1)))))*(INDEX('Earth curves'!$G$2:$G$46,MAX(1,MIN(44,IFERROR(MATCH(W133,'Earth curves'!$E$2:$E$46,1),1)))+1)-INDEX('Earth curves'!$G$2:$G$46,MAX(1,MIN(44,IFERROR(MATCH(W133,'Earth curves'!$E$2:$E$46,1),1)))))/(INDEX('Earth curves'!$E$2:$E$46,MAX(1,MIN(44,IFERROR(MATCH(W133,'Earth curves'!$E$2:$E$46,1),1)))+1)-INDEX('Earth curves'!$E$2:$E$46,MAX(1,MIN(44,IFERROR(MATCH(W133,'Earth curves'!$E$2:$E$46,1),1))))))</f>
        <v/>
      </c>
      <c r="Z133" s="6">
        <f>(MIN(X133/Config!$B$9,1)+MIN(Y133/Config!$B$10,1))/2</f>
        <v/>
      </c>
      <c r="AA133" s="10">
        <f>ROUND(MIN(22,MAX(3,X133*W133/Z133)),1)</f>
        <v/>
      </c>
      <c r="AB133" s="11" t="n"/>
      <c r="AC133" s="10">
        <f>IF(AB133="",AA133,AB133)</f>
        <v/>
      </c>
      <c r="AD133" s="10">
        <f>ROUND(MIN(Config!$B$10,MAX(1,Y133*W133/Z133)),1)</f>
        <v/>
      </c>
      <c r="AE133" s="11" t="n"/>
      <c r="AF133" s="10">
        <f>IF(AE133="",AD133,AE133)</f>
        <v/>
      </c>
      <c r="AG133" s="9">
        <f>(V133-Config!$B$7)/(Config!$B$8-Config!$B$7)</f>
        <v/>
      </c>
      <c r="AH133" s="9">
        <f>(MIN(AC133/Config!$B$9,1)+MIN(AF133/Config!$B$10,1))/2</f>
        <v/>
      </c>
      <c r="AI133" s="12">
        <f>ROUND((AG133*AH133*G133)^(1/3),3)</f>
        <v/>
      </c>
      <c r="AJ133" s="12" t="n">
        <v>0.762</v>
      </c>
      <c r="AK133" s="13">
        <f>AI133-AJ133</f>
        <v/>
      </c>
      <c r="AL133" s="13">
        <f>AK133-AVERAGE($AK$2:$AK$173)</f>
        <v/>
      </c>
      <c r="AM133" s="6">
        <f>IF(ABS(AL133)&gt;Config!$B$11,"REVIEW","")</f>
        <v/>
      </c>
      <c r="AN133" s="14">
        <f>RANK(AI133,$AI$2:$AI$173)</f>
        <v/>
      </c>
      <c r="AO133" s="14">
        <f>RANK(AJ133,$AJ$2:$AJ$173)</f>
        <v/>
      </c>
      <c r="AP133" s="14" t="n">
        <v>133</v>
      </c>
    </row>
    <row r="134">
      <c r="A134" s="6" t="inlineStr">
        <is>
          <t>Stinebar</t>
        </is>
      </c>
      <c r="B134" s="6" t="inlineStr">
        <is>
          <t>Massir</t>
        </is>
      </c>
      <c r="C134" s="6" t="inlineStr">
        <is>
          <t>—</t>
        </is>
      </c>
      <c r="D134" s="7" t="n">
        <v>197143</v>
      </c>
      <c r="E134" s="8">
        <f>D134*Config!$B$4</f>
        <v/>
      </c>
      <c r="F134" s="6">
        <f>LN(MAX(60,E134))</f>
        <v/>
      </c>
      <c r="G134" s="9">
        <f>MEDIAN(0,(F134-LN(Config!$B$5))/(LN(Config!$B$6)-LN(Config!$B$5)),1)</f>
        <v/>
      </c>
      <c r="H134" s="6">
        <f>MOD((Config!$B$2+$AP134*7919)*9301+49297,233280)/233280</f>
        <v/>
      </c>
      <c r="I134" s="6">
        <f>MOD((Config!$B$2+$AP134*104729)*4096+150889,714025)/714025</f>
        <v/>
      </c>
      <c r="J134" s="6">
        <f>MOD((Config!$B$2*31+$AP134*15485863)*1366+150889,714025)/714025</f>
        <v/>
      </c>
      <c r="K134" s="6" t="n"/>
      <c r="L134" s="6" t="n"/>
      <c r="M134" s="6">
        <f>COUNTIF(Siblings!$A$2:$A$84,B134)</f>
        <v/>
      </c>
      <c r="N134" s="6">
        <f>1+INT(J134*M134)</f>
        <v/>
      </c>
      <c r="O134" s="6">
        <f>IF(K134&lt;&gt;"",K134,IFERROR(INDEX(Siblings!$D$2:$D$84,MATCH(B134&amp;"|"&amp;N134,Siblings!$F$2:$F$84,0)),0))</f>
        <v/>
      </c>
      <c r="P134" s="6">
        <f>IF(L134&lt;&gt;"",L134,IFERROR(INDEX(Siblings!$E$2:$E$84,MATCH(B134&amp;"|"&amp;N134,Siblings!$F$2:$F$84,0)),0))</f>
        <v/>
      </c>
      <c r="Q134" s="6">
        <f>(INDEX('Earth curves'!$B$2:$B$46,MAX(1,MIN(44,IFERROR(MATCH(F134,'Earth curves'!$A$2:$A$46,1),1))))+(F134-INDEX('Earth curves'!$A$2:$A$46,MAX(1,MIN(44,IFERROR(MATCH(F134,'Earth curves'!$A$2:$A$46,1),1)))))*(INDEX('Earth curves'!$B$2:$B$46,MAX(1,MIN(44,IFERROR(MATCH(F134,'Earth curves'!$A$2:$A$46,1),1)))+1)-INDEX('Earth curves'!$B$2:$B$46,MAX(1,MIN(44,IFERROR(MATCH(F134,'Earth curves'!$A$2:$A$46,1),1)))))/(INDEX('Earth curves'!$A$2:$A$46,MAX(1,MIN(44,IFERROR(MATCH(F134,'Earth curves'!$A$2:$A$46,1),1)))+1)-INDEX('Earth curves'!$A$2:$A$46,MAX(1,MIN(44,IFERROR(MATCH(F134,'Earth curves'!$A$2:$A$46,1),1))))))</f>
        <v/>
      </c>
      <c r="R134" s="6">
        <f>(INDEX('Earth curves'!$C$2:$C$46,MAX(1,MIN(44,IFERROR(MATCH(F134,'Earth curves'!$A$2:$A$46,1),1))))+(F134-INDEX('Earth curves'!$A$2:$A$46,MAX(1,MIN(44,IFERROR(MATCH(F134,'Earth curves'!$A$2:$A$46,1),1)))))*(INDEX('Earth curves'!$C$2:$C$46,MAX(1,MIN(44,IFERROR(MATCH(F134,'Earth curves'!$A$2:$A$46,1),1)))+1)-INDEX('Earth curves'!$C$2:$C$46,MAX(1,MIN(44,IFERROR(MATCH(F134,'Earth curves'!$A$2:$A$46,1),1)))))/(INDEX('Earth curves'!$A$2:$A$46,MAX(1,MIN(44,IFERROR(MATCH(F134,'Earth curves'!$A$2:$A$46,1),1)))+1)-INDEX('Earth curves'!$A$2:$A$46,MAX(1,MIN(44,IFERROR(MATCH(F134,'Earth curves'!$A$2:$A$46,1),1))))))</f>
        <v/>
      </c>
      <c r="S134" s="6">
        <f>MEDIAN(0.307692,Q134+MEDIAN(-0.350583,O134+NORMSINV(H134)*0.064828*Config!$B$3,0.120277),0.993846)</f>
        <v/>
      </c>
      <c r="T134" s="10">
        <f>ROUND(Config!$B$7+(Config!$B$8-Config!$B$7)*S134,1)</f>
        <v/>
      </c>
      <c r="U134" s="11" t="n"/>
      <c r="V134" s="10">
        <f>IF(U134="",T134,U134)</f>
        <v/>
      </c>
      <c r="W134" s="6">
        <f>MEDIAN(0.05,R134+MEDIAN(-0.302219,P134+NORMSINV(I134)*0.089531*Config!$B$3,0.274961),0.999)</f>
        <v/>
      </c>
      <c r="X134" s="6">
        <f>(INDEX('Earth curves'!$F$2:$F$46,MAX(1,MIN(44,IFERROR(MATCH(W134,'Earth curves'!$E$2:$E$46,1),1))))+(W134-INDEX('Earth curves'!$E$2:$E$46,MAX(1,MIN(44,IFERROR(MATCH(W134,'Earth curves'!$E$2:$E$46,1),1)))))*(INDEX('Earth curves'!$F$2:$F$46,MAX(1,MIN(44,IFERROR(MATCH(W134,'Earth curves'!$E$2:$E$46,1),1)))+1)-INDEX('Earth curves'!$F$2:$F$46,MAX(1,MIN(44,IFERROR(MATCH(W134,'Earth curves'!$E$2:$E$46,1),1)))))/(INDEX('Earth curves'!$E$2:$E$46,MAX(1,MIN(44,IFERROR(MATCH(W134,'Earth curves'!$E$2:$E$46,1),1)))+1)-INDEX('Earth curves'!$E$2:$E$46,MAX(1,MIN(44,IFERROR(MATCH(W134,'Earth curves'!$E$2:$E$46,1),1))))))</f>
        <v/>
      </c>
      <c r="Y134" s="6">
        <f>(INDEX('Earth curves'!$G$2:$G$46,MAX(1,MIN(44,IFERROR(MATCH(W134,'Earth curves'!$E$2:$E$46,1),1))))+(W134-INDEX('Earth curves'!$E$2:$E$46,MAX(1,MIN(44,IFERROR(MATCH(W134,'Earth curves'!$E$2:$E$46,1),1)))))*(INDEX('Earth curves'!$G$2:$G$46,MAX(1,MIN(44,IFERROR(MATCH(W134,'Earth curves'!$E$2:$E$46,1),1)))+1)-INDEX('Earth curves'!$G$2:$G$46,MAX(1,MIN(44,IFERROR(MATCH(W134,'Earth curves'!$E$2:$E$46,1),1)))))/(INDEX('Earth curves'!$E$2:$E$46,MAX(1,MIN(44,IFERROR(MATCH(W134,'Earth curves'!$E$2:$E$46,1),1)))+1)-INDEX('Earth curves'!$E$2:$E$46,MAX(1,MIN(44,IFERROR(MATCH(W134,'Earth curves'!$E$2:$E$46,1),1))))))</f>
        <v/>
      </c>
      <c r="Z134" s="6">
        <f>(MIN(X134/Config!$B$9,1)+MIN(Y134/Config!$B$10,1))/2</f>
        <v/>
      </c>
      <c r="AA134" s="10">
        <f>ROUND(MIN(22,MAX(3,X134*W134/Z134)),1)</f>
        <v/>
      </c>
      <c r="AB134" s="11" t="n"/>
      <c r="AC134" s="10">
        <f>IF(AB134="",AA134,AB134)</f>
        <v/>
      </c>
      <c r="AD134" s="10">
        <f>ROUND(MIN(Config!$B$10,MAX(1,Y134*W134/Z134)),1)</f>
        <v/>
      </c>
      <c r="AE134" s="11" t="n"/>
      <c r="AF134" s="10">
        <f>IF(AE134="",AD134,AE134)</f>
        <v/>
      </c>
      <c r="AG134" s="9">
        <f>(V134-Config!$B$7)/(Config!$B$8-Config!$B$7)</f>
        <v/>
      </c>
      <c r="AH134" s="9">
        <f>(MIN(AC134/Config!$B$9,1)+MIN(AF134/Config!$B$10,1))/2</f>
        <v/>
      </c>
      <c r="AI134" s="12">
        <f>ROUND((AG134*AH134*G134)^(1/3),3)</f>
        <v/>
      </c>
      <c r="AJ134" s="12" t="n">
        <v>0.899</v>
      </c>
      <c r="AK134" s="13">
        <f>AI134-AJ134</f>
        <v/>
      </c>
      <c r="AL134" s="13">
        <f>AK134-AVERAGE($AK$2:$AK$173)</f>
        <v/>
      </c>
      <c r="AM134" s="6">
        <f>IF(ABS(AL134)&gt;Config!$B$11,"REVIEW","")</f>
        <v/>
      </c>
      <c r="AN134" s="14">
        <f>RANK(AI134,$AI$2:$AI$173)</f>
        <v/>
      </c>
      <c r="AO134" s="14">
        <f>RANK(AJ134,$AJ$2:$AJ$173)</f>
        <v/>
      </c>
      <c r="AP134" s="14" t="n">
        <v>134</v>
      </c>
    </row>
    <row r="135">
      <c r="A135" s="6" t="inlineStr">
        <is>
          <t>Suenan</t>
        </is>
      </c>
      <c r="B135" s="6" t="inlineStr">
        <is>
          <t>Massir</t>
        </is>
      </c>
      <c r="C135" s="6" t="inlineStr">
        <is>
          <t>resource</t>
        </is>
      </c>
      <c r="D135" s="7" t="n">
        <v>51429</v>
      </c>
      <c r="E135" s="8">
        <f>D135*Config!$B$4</f>
        <v/>
      </c>
      <c r="F135" s="6">
        <f>LN(MAX(60,E135))</f>
        <v/>
      </c>
      <c r="G135" s="9">
        <f>MEDIAN(0,(F135-LN(Config!$B$5))/(LN(Config!$B$6)-LN(Config!$B$5)),1)</f>
        <v/>
      </c>
      <c r="H135" s="6">
        <f>MOD((Config!$B$2+$AP135*7919)*9301+49297,233280)/233280</f>
        <v/>
      </c>
      <c r="I135" s="6">
        <f>MOD((Config!$B$2+$AP135*104729)*4096+150889,714025)/714025</f>
        <v/>
      </c>
      <c r="J135" s="6">
        <f>MOD((Config!$B$2*31+$AP135*15485863)*1366+150889,714025)/714025</f>
        <v/>
      </c>
      <c r="K135" s="6" t="n">
        <v>0.048663</v>
      </c>
      <c r="L135" s="6" t="n">
        <v>0.038869</v>
      </c>
      <c r="M135" s="6">
        <f>COUNTIF(Siblings!$A$2:$A$84,B135)</f>
        <v/>
      </c>
      <c r="N135" s="6">
        <f>1+INT(J135*M135)</f>
        <v/>
      </c>
      <c r="O135" s="6">
        <f>IF(K135&lt;&gt;"",K135,IFERROR(INDEX(Siblings!$D$2:$D$84,MATCH(B135&amp;"|"&amp;N135,Siblings!$F$2:$F$84,0)),0))</f>
        <v/>
      </c>
      <c r="P135" s="6">
        <f>IF(L135&lt;&gt;"",L135,IFERROR(INDEX(Siblings!$E$2:$E$84,MATCH(B135&amp;"|"&amp;N135,Siblings!$F$2:$F$84,0)),0))</f>
        <v/>
      </c>
      <c r="Q135" s="6">
        <f>(INDEX('Earth curves'!$B$2:$B$46,MAX(1,MIN(44,IFERROR(MATCH(F135,'Earth curves'!$A$2:$A$46,1),1))))+(F135-INDEX('Earth curves'!$A$2:$A$46,MAX(1,MIN(44,IFERROR(MATCH(F135,'Earth curves'!$A$2:$A$46,1),1)))))*(INDEX('Earth curves'!$B$2:$B$46,MAX(1,MIN(44,IFERROR(MATCH(F135,'Earth curves'!$A$2:$A$46,1),1)))+1)-INDEX('Earth curves'!$B$2:$B$46,MAX(1,MIN(44,IFERROR(MATCH(F135,'Earth curves'!$A$2:$A$46,1),1)))))/(INDEX('Earth curves'!$A$2:$A$46,MAX(1,MIN(44,IFERROR(MATCH(F135,'Earth curves'!$A$2:$A$46,1),1)))+1)-INDEX('Earth curves'!$A$2:$A$46,MAX(1,MIN(44,IFERROR(MATCH(F135,'Earth curves'!$A$2:$A$46,1),1))))))</f>
        <v/>
      </c>
      <c r="R135" s="6">
        <f>(INDEX('Earth curves'!$C$2:$C$46,MAX(1,MIN(44,IFERROR(MATCH(F135,'Earth curves'!$A$2:$A$46,1),1))))+(F135-INDEX('Earth curves'!$A$2:$A$46,MAX(1,MIN(44,IFERROR(MATCH(F135,'Earth curves'!$A$2:$A$46,1),1)))))*(INDEX('Earth curves'!$C$2:$C$46,MAX(1,MIN(44,IFERROR(MATCH(F135,'Earth curves'!$A$2:$A$46,1),1)))+1)-INDEX('Earth curves'!$C$2:$C$46,MAX(1,MIN(44,IFERROR(MATCH(F135,'Earth curves'!$A$2:$A$46,1),1)))))/(INDEX('Earth curves'!$A$2:$A$46,MAX(1,MIN(44,IFERROR(MATCH(F135,'Earth curves'!$A$2:$A$46,1),1)))+1)-INDEX('Earth curves'!$A$2:$A$46,MAX(1,MIN(44,IFERROR(MATCH(F135,'Earth curves'!$A$2:$A$46,1),1))))))</f>
        <v/>
      </c>
      <c r="S135" s="6">
        <f>MEDIAN(0.307692,Q135+MEDIAN(-0.350583,O135+NORMSINV(H135)*0.064828*Config!$B$3,0.120277),0.993846)</f>
        <v/>
      </c>
      <c r="T135" s="10">
        <f>ROUND(Config!$B$7+(Config!$B$8-Config!$B$7)*S135,1)</f>
        <v/>
      </c>
      <c r="U135" s="11" t="n"/>
      <c r="V135" s="10">
        <f>IF(U135="",T135,U135)</f>
        <v/>
      </c>
      <c r="W135" s="6">
        <f>MEDIAN(0.05,R135+MEDIAN(-0.302219,P135+NORMSINV(I135)*0.089531*Config!$B$3,0.274961),0.999)</f>
        <v/>
      </c>
      <c r="X135" s="6">
        <f>(INDEX('Earth curves'!$F$2:$F$46,MAX(1,MIN(44,IFERROR(MATCH(W135,'Earth curves'!$E$2:$E$46,1),1))))+(W135-INDEX('Earth curves'!$E$2:$E$46,MAX(1,MIN(44,IFERROR(MATCH(W135,'Earth curves'!$E$2:$E$46,1),1)))))*(INDEX('Earth curves'!$F$2:$F$46,MAX(1,MIN(44,IFERROR(MATCH(W135,'Earth curves'!$E$2:$E$46,1),1)))+1)-INDEX('Earth curves'!$F$2:$F$46,MAX(1,MIN(44,IFERROR(MATCH(W135,'Earth curves'!$E$2:$E$46,1),1)))))/(INDEX('Earth curves'!$E$2:$E$46,MAX(1,MIN(44,IFERROR(MATCH(W135,'Earth curves'!$E$2:$E$46,1),1)))+1)-INDEX('Earth curves'!$E$2:$E$46,MAX(1,MIN(44,IFERROR(MATCH(W135,'Earth curves'!$E$2:$E$46,1),1))))))</f>
        <v/>
      </c>
      <c r="Y135" s="6">
        <f>(INDEX('Earth curves'!$G$2:$G$46,MAX(1,MIN(44,IFERROR(MATCH(W135,'Earth curves'!$E$2:$E$46,1),1))))+(W135-INDEX('Earth curves'!$E$2:$E$46,MAX(1,MIN(44,IFERROR(MATCH(W135,'Earth curves'!$E$2:$E$46,1),1)))))*(INDEX('Earth curves'!$G$2:$G$46,MAX(1,MIN(44,IFERROR(MATCH(W135,'Earth curves'!$E$2:$E$46,1),1)))+1)-INDEX('Earth curves'!$G$2:$G$46,MAX(1,MIN(44,IFERROR(MATCH(W135,'Earth curves'!$E$2:$E$46,1),1)))))/(INDEX('Earth curves'!$E$2:$E$46,MAX(1,MIN(44,IFERROR(MATCH(W135,'Earth curves'!$E$2:$E$46,1),1)))+1)-INDEX('Earth curves'!$E$2:$E$46,MAX(1,MIN(44,IFERROR(MATCH(W135,'Earth curves'!$E$2:$E$46,1),1))))))</f>
        <v/>
      </c>
      <c r="Z135" s="6">
        <f>(MIN(X135/Config!$B$9,1)+MIN(Y135/Config!$B$10,1))/2</f>
        <v/>
      </c>
      <c r="AA135" s="10">
        <f>ROUND(MIN(22,MAX(3,X135*W135/Z135)),1)</f>
        <v/>
      </c>
      <c r="AB135" s="11" t="n"/>
      <c r="AC135" s="10">
        <f>IF(AB135="",AA135,AB135)</f>
        <v/>
      </c>
      <c r="AD135" s="10">
        <f>ROUND(MIN(Config!$B$10,MAX(1,Y135*W135/Z135)),1)</f>
        <v/>
      </c>
      <c r="AE135" s="11" t="n"/>
      <c r="AF135" s="10">
        <f>IF(AE135="",AD135,AE135)</f>
        <v/>
      </c>
      <c r="AG135" s="9">
        <f>(V135-Config!$B$7)/(Config!$B$8-Config!$B$7)</f>
        <v/>
      </c>
      <c r="AH135" s="9">
        <f>(MIN(AC135/Config!$B$9,1)+MIN(AF135/Config!$B$10,1))/2</f>
        <v/>
      </c>
      <c r="AI135" s="12">
        <f>ROUND((AG135*AH135*G135)^(1/3),3)</f>
        <v/>
      </c>
      <c r="AJ135" s="12" t="n">
        <v>0.768</v>
      </c>
      <c r="AK135" s="13">
        <f>AI135-AJ135</f>
        <v/>
      </c>
      <c r="AL135" s="13">
        <f>AK135-AVERAGE($AK$2:$AK$173)</f>
        <v/>
      </c>
      <c r="AM135" s="6">
        <f>IF(ABS(AL135)&gt;Config!$B$11,"REVIEW","")</f>
        <v/>
      </c>
      <c r="AN135" s="14">
        <f>RANK(AI135,$AI$2:$AI$173)</f>
        <v/>
      </c>
      <c r="AO135" s="14">
        <f>RANK(AJ135,$AJ$2:$AJ$173)</f>
        <v/>
      </c>
      <c r="AP135" s="14" t="n">
        <v>135</v>
      </c>
    </row>
    <row r="136">
      <c r="A136" s="6" t="inlineStr">
        <is>
          <t>Sunsokua</t>
        </is>
      </c>
      <c r="B136" s="6" t="inlineStr">
        <is>
          <t>Mahea</t>
        </is>
      </c>
      <c r="C136" s="6" t="inlineStr">
        <is>
          <t>petro, resource, tradehub, university</t>
        </is>
      </c>
      <c r="D136" s="7" t="n">
        <v>100635</v>
      </c>
      <c r="E136" s="8">
        <f>D136*Config!$B$4</f>
        <v/>
      </c>
      <c r="F136" s="6">
        <f>LN(MAX(60,E136))</f>
        <v/>
      </c>
      <c r="G136" s="9">
        <f>MEDIAN(0,(F136-LN(Config!$B$5))/(LN(Config!$B$6)-LN(Config!$B$5)),1)</f>
        <v/>
      </c>
      <c r="H136" s="6">
        <f>MOD((Config!$B$2+$AP136*7919)*9301+49297,233280)/233280</f>
        <v/>
      </c>
      <c r="I136" s="6">
        <f>MOD((Config!$B$2+$AP136*104729)*4096+150889,714025)/714025</f>
        <v/>
      </c>
      <c r="J136" s="6">
        <f>MOD((Config!$B$2*31+$AP136*15485863)*1366+150889,714025)/714025</f>
        <v/>
      </c>
      <c r="K136" s="6" t="n">
        <v>0.048663</v>
      </c>
      <c r="L136" s="6" t="n">
        <v>0.038869</v>
      </c>
      <c r="M136" s="6">
        <f>COUNTIF(Siblings!$A$2:$A$84,B136)</f>
        <v/>
      </c>
      <c r="N136" s="6">
        <f>1+INT(J136*M136)</f>
        <v/>
      </c>
      <c r="O136" s="6">
        <f>IF(K136&lt;&gt;"",K136,IFERROR(INDEX(Siblings!$D$2:$D$84,MATCH(B136&amp;"|"&amp;N136,Siblings!$F$2:$F$84,0)),0))</f>
        <v/>
      </c>
      <c r="P136" s="6">
        <f>IF(L136&lt;&gt;"",L136,IFERROR(INDEX(Siblings!$E$2:$E$84,MATCH(B136&amp;"|"&amp;N136,Siblings!$F$2:$F$84,0)),0))</f>
        <v/>
      </c>
      <c r="Q136" s="6">
        <f>(INDEX('Earth curves'!$B$2:$B$46,MAX(1,MIN(44,IFERROR(MATCH(F136,'Earth curves'!$A$2:$A$46,1),1))))+(F136-INDEX('Earth curves'!$A$2:$A$46,MAX(1,MIN(44,IFERROR(MATCH(F136,'Earth curves'!$A$2:$A$46,1),1)))))*(INDEX('Earth curves'!$B$2:$B$46,MAX(1,MIN(44,IFERROR(MATCH(F136,'Earth curves'!$A$2:$A$46,1),1)))+1)-INDEX('Earth curves'!$B$2:$B$46,MAX(1,MIN(44,IFERROR(MATCH(F136,'Earth curves'!$A$2:$A$46,1),1)))))/(INDEX('Earth curves'!$A$2:$A$46,MAX(1,MIN(44,IFERROR(MATCH(F136,'Earth curves'!$A$2:$A$46,1),1)))+1)-INDEX('Earth curves'!$A$2:$A$46,MAX(1,MIN(44,IFERROR(MATCH(F136,'Earth curves'!$A$2:$A$46,1),1))))))</f>
        <v/>
      </c>
      <c r="R136" s="6">
        <f>(INDEX('Earth curves'!$C$2:$C$46,MAX(1,MIN(44,IFERROR(MATCH(F136,'Earth curves'!$A$2:$A$46,1),1))))+(F136-INDEX('Earth curves'!$A$2:$A$46,MAX(1,MIN(44,IFERROR(MATCH(F136,'Earth curves'!$A$2:$A$46,1),1)))))*(INDEX('Earth curves'!$C$2:$C$46,MAX(1,MIN(44,IFERROR(MATCH(F136,'Earth curves'!$A$2:$A$46,1),1)))+1)-INDEX('Earth curves'!$C$2:$C$46,MAX(1,MIN(44,IFERROR(MATCH(F136,'Earth curves'!$A$2:$A$46,1),1)))))/(INDEX('Earth curves'!$A$2:$A$46,MAX(1,MIN(44,IFERROR(MATCH(F136,'Earth curves'!$A$2:$A$46,1),1)))+1)-INDEX('Earth curves'!$A$2:$A$46,MAX(1,MIN(44,IFERROR(MATCH(F136,'Earth curves'!$A$2:$A$46,1),1))))))</f>
        <v/>
      </c>
      <c r="S136" s="6">
        <f>MEDIAN(0.307692,Q136+MEDIAN(-0.350583,O136+NORMSINV(H136)*0.064828*Config!$B$3,0.120277),0.993846)</f>
        <v/>
      </c>
      <c r="T136" s="10">
        <f>ROUND(Config!$B$7+(Config!$B$8-Config!$B$7)*S136,1)</f>
        <v/>
      </c>
      <c r="U136" s="11" t="n"/>
      <c r="V136" s="10">
        <f>IF(U136="",T136,U136)</f>
        <v/>
      </c>
      <c r="W136" s="6">
        <f>MEDIAN(0.05,R136+MEDIAN(-0.302219,P136+NORMSINV(I136)*0.089531*Config!$B$3,0.274961),0.999)</f>
        <v/>
      </c>
      <c r="X136" s="6">
        <f>(INDEX('Earth curves'!$F$2:$F$46,MAX(1,MIN(44,IFERROR(MATCH(W136,'Earth curves'!$E$2:$E$46,1),1))))+(W136-INDEX('Earth curves'!$E$2:$E$46,MAX(1,MIN(44,IFERROR(MATCH(W136,'Earth curves'!$E$2:$E$46,1),1)))))*(INDEX('Earth curves'!$F$2:$F$46,MAX(1,MIN(44,IFERROR(MATCH(W136,'Earth curves'!$E$2:$E$46,1),1)))+1)-INDEX('Earth curves'!$F$2:$F$46,MAX(1,MIN(44,IFERROR(MATCH(W136,'Earth curves'!$E$2:$E$46,1),1)))))/(INDEX('Earth curves'!$E$2:$E$46,MAX(1,MIN(44,IFERROR(MATCH(W136,'Earth curves'!$E$2:$E$46,1),1)))+1)-INDEX('Earth curves'!$E$2:$E$46,MAX(1,MIN(44,IFERROR(MATCH(W136,'Earth curves'!$E$2:$E$46,1),1))))))</f>
        <v/>
      </c>
      <c r="Y136" s="6">
        <f>(INDEX('Earth curves'!$G$2:$G$46,MAX(1,MIN(44,IFERROR(MATCH(W136,'Earth curves'!$E$2:$E$46,1),1))))+(W136-INDEX('Earth curves'!$E$2:$E$46,MAX(1,MIN(44,IFERROR(MATCH(W136,'Earth curves'!$E$2:$E$46,1),1)))))*(INDEX('Earth curves'!$G$2:$G$46,MAX(1,MIN(44,IFERROR(MATCH(W136,'Earth curves'!$E$2:$E$46,1),1)))+1)-INDEX('Earth curves'!$G$2:$G$46,MAX(1,MIN(44,IFERROR(MATCH(W136,'Earth curves'!$E$2:$E$46,1),1)))))/(INDEX('Earth curves'!$E$2:$E$46,MAX(1,MIN(44,IFERROR(MATCH(W136,'Earth curves'!$E$2:$E$46,1),1)))+1)-INDEX('Earth curves'!$E$2:$E$46,MAX(1,MIN(44,IFERROR(MATCH(W136,'Earth curves'!$E$2:$E$46,1),1))))))</f>
        <v/>
      </c>
      <c r="Z136" s="6">
        <f>(MIN(X136/Config!$B$9,1)+MIN(Y136/Config!$B$10,1))/2</f>
        <v/>
      </c>
      <c r="AA136" s="10">
        <f>ROUND(MIN(22,MAX(3,X136*W136/Z136)),1)</f>
        <v/>
      </c>
      <c r="AB136" s="11" t="n"/>
      <c r="AC136" s="10">
        <f>IF(AB136="",AA136,AB136)</f>
        <v/>
      </c>
      <c r="AD136" s="10">
        <f>ROUND(MIN(Config!$B$10,MAX(1,Y136*W136/Z136)),1)</f>
        <v/>
      </c>
      <c r="AE136" s="11" t="n"/>
      <c r="AF136" s="10">
        <f>IF(AE136="",AD136,AE136)</f>
        <v/>
      </c>
      <c r="AG136" s="9">
        <f>(V136-Config!$B$7)/(Config!$B$8-Config!$B$7)</f>
        <v/>
      </c>
      <c r="AH136" s="9">
        <f>(MIN(AC136/Config!$B$9,1)+MIN(AF136/Config!$B$10,1))/2</f>
        <v/>
      </c>
      <c r="AI136" s="12">
        <f>ROUND((AG136*AH136*G136)^(1/3),3)</f>
        <v/>
      </c>
      <c r="AJ136" s="12" t="n">
        <v>0.918</v>
      </c>
      <c r="AK136" s="13">
        <f>AI136-AJ136</f>
        <v/>
      </c>
      <c r="AL136" s="13">
        <f>AK136-AVERAGE($AK$2:$AK$173)</f>
        <v/>
      </c>
      <c r="AM136" s="6">
        <f>IF(ABS(AL136)&gt;Config!$B$11,"REVIEW","")</f>
        <v/>
      </c>
      <c r="AN136" s="14">
        <f>RANK(AI136,$AI$2:$AI$173)</f>
        <v/>
      </c>
      <c r="AO136" s="14">
        <f>RANK(AJ136,$AJ$2:$AJ$173)</f>
        <v/>
      </c>
      <c r="AP136" s="14" t="n">
        <v>136</v>
      </c>
    </row>
    <row r="137">
      <c r="A137" s="6" t="inlineStr">
        <is>
          <t>Taing</t>
        </is>
      </c>
      <c r="B137" s="6" t="inlineStr">
        <is>
          <t>Mahea</t>
        </is>
      </c>
      <c r="C137" s="6" t="inlineStr">
        <is>
          <t>—</t>
        </is>
      </c>
      <c r="D137" s="7" t="n">
        <v>105714</v>
      </c>
      <c r="E137" s="8">
        <f>D137*Config!$B$4</f>
        <v/>
      </c>
      <c r="F137" s="6">
        <f>LN(MAX(60,E137))</f>
        <v/>
      </c>
      <c r="G137" s="9">
        <f>MEDIAN(0,(F137-LN(Config!$B$5))/(LN(Config!$B$6)-LN(Config!$B$5)),1)</f>
        <v/>
      </c>
      <c r="H137" s="6">
        <f>MOD((Config!$B$2+$AP137*7919)*9301+49297,233280)/233280</f>
        <v/>
      </c>
      <c r="I137" s="6">
        <f>MOD((Config!$B$2+$AP137*104729)*4096+150889,714025)/714025</f>
        <v/>
      </c>
      <c r="J137" s="6">
        <f>MOD((Config!$B$2*31+$AP137*15485863)*1366+150889,714025)/714025</f>
        <v/>
      </c>
      <c r="K137" s="6" t="n"/>
      <c r="L137" s="6" t="n"/>
      <c r="M137" s="6">
        <f>COUNTIF(Siblings!$A$2:$A$84,B137)</f>
        <v/>
      </c>
      <c r="N137" s="6">
        <f>1+INT(J137*M137)</f>
        <v/>
      </c>
      <c r="O137" s="6">
        <f>IF(K137&lt;&gt;"",K137,IFERROR(INDEX(Siblings!$D$2:$D$84,MATCH(B137&amp;"|"&amp;N137,Siblings!$F$2:$F$84,0)),0))</f>
        <v/>
      </c>
      <c r="P137" s="6">
        <f>IF(L137&lt;&gt;"",L137,IFERROR(INDEX(Siblings!$E$2:$E$84,MATCH(B137&amp;"|"&amp;N137,Siblings!$F$2:$F$84,0)),0))</f>
        <v/>
      </c>
      <c r="Q137" s="6">
        <f>(INDEX('Earth curves'!$B$2:$B$46,MAX(1,MIN(44,IFERROR(MATCH(F137,'Earth curves'!$A$2:$A$46,1),1))))+(F137-INDEX('Earth curves'!$A$2:$A$46,MAX(1,MIN(44,IFERROR(MATCH(F137,'Earth curves'!$A$2:$A$46,1),1)))))*(INDEX('Earth curves'!$B$2:$B$46,MAX(1,MIN(44,IFERROR(MATCH(F137,'Earth curves'!$A$2:$A$46,1),1)))+1)-INDEX('Earth curves'!$B$2:$B$46,MAX(1,MIN(44,IFERROR(MATCH(F137,'Earth curves'!$A$2:$A$46,1),1)))))/(INDEX('Earth curves'!$A$2:$A$46,MAX(1,MIN(44,IFERROR(MATCH(F137,'Earth curves'!$A$2:$A$46,1),1)))+1)-INDEX('Earth curves'!$A$2:$A$46,MAX(1,MIN(44,IFERROR(MATCH(F137,'Earth curves'!$A$2:$A$46,1),1))))))</f>
        <v/>
      </c>
      <c r="R137" s="6">
        <f>(INDEX('Earth curves'!$C$2:$C$46,MAX(1,MIN(44,IFERROR(MATCH(F137,'Earth curves'!$A$2:$A$46,1),1))))+(F137-INDEX('Earth curves'!$A$2:$A$46,MAX(1,MIN(44,IFERROR(MATCH(F137,'Earth curves'!$A$2:$A$46,1),1)))))*(INDEX('Earth curves'!$C$2:$C$46,MAX(1,MIN(44,IFERROR(MATCH(F137,'Earth curves'!$A$2:$A$46,1),1)))+1)-INDEX('Earth curves'!$C$2:$C$46,MAX(1,MIN(44,IFERROR(MATCH(F137,'Earth curves'!$A$2:$A$46,1),1)))))/(INDEX('Earth curves'!$A$2:$A$46,MAX(1,MIN(44,IFERROR(MATCH(F137,'Earth curves'!$A$2:$A$46,1),1)))+1)-INDEX('Earth curves'!$A$2:$A$46,MAX(1,MIN(44,IFERROR(MATCH(F137,'Earth curves'!$A$2:$A$46,1),1))))))</f>
        <v/>
      </c>
      <c r="S137" s="6">
        <f>MEDIAN(0.307692,Q137+MEDIAN(-0.350583,O137+NORMSINV(H137)*0.064828*Config!$B$3,0.120277),0.993846)</f>
        <v/>
      </c>
      <c r="T137" s="10">
        <f>ROUND(Config!$B$7+(Config!$B$8-Config!$B$7)*S137,1)</f>
        <v/>
      </c>
      <c r="U137" s="11" t="n"/>
      <c r="V137" s="10">
        <f>IF(U137="",T137,U137)</f>
        <v/>
      </c>
      <c r="W137" s="6">
        <f>MEDIAN(0.05,R137+MEDIAN(-0.302219,P137+NORMSINV(I137)*0.089531*Config!$B$3,0.274961),0.999)</f>
        <v/>
      </c>
      <c r="X137" s="6">
        <f>(INDEX('Earth curves'!$F$2:$F$46,MAX(1,MIN(44,IFERROR(MATCH(W137,'Earth curves'!$E$2:$E$46,1),1))))+(W137-INDEX('Earth curves'!$E$2:$E$46,MAX(1,MIN(44,IFERROR(MATCH(W137,'Earth curves'!$E$2:$E$46,1),1)))))*(INDEX('Earth curves'!$F$2:$F$46,MAX(1,MIN(44,IFERROR(MATCH(W137,'Earth curves'!$E$2:$E$46,1),1)))+1)-INDEX('Earth curves'!$F$2:$F$46,MAX(1,MIN(44,IFERROR(MATCH(W137,'Earth curves'!$E$2:$E$46,1),1)))))/(INDEX('Earth curves'!$E$2:$E$46,MAX(1,MIN(44,IFERROR(MATCH(W137,'Earth curves'!$E$2:$E$46,1),1)))+1)-INDEX('Earth curves'!$E$2:$E$46,MAX(1,MIN(44,IFERROR(MATCH(W137,'Earth curves'!$E$2:$E$46,1),1))))))</f>
        <v/>
      </c>
      <c r="Y137" s="6">
        <f>(INDEX('Earth curves'!$G$2:$G$46,MAX(1,MIN(44,IFERROR(MATCH(W137,'Earth curves'!$E$2:$E$46,1),1))))+(W137-INDEX('Earth curves'!$E$2:$E$46,MAX(1,MIN(44,IFERROR(MATCH(W137,'Earth curves'!$E$2:$E$46,1),1)))))*(INDEX('Earth curves'!$G$2:$G$46,MAX(1,MIN(44,IFERROR(MATCH(W137,'Earth curves'!$E$2:$E$46,1),1)))+1)-INDEX('Earth curves'!$G$2:$G$46,MAX(1,MIN(44,IFERROR(MATCH(W137,'Earth curves'!$E$2:$E$46,1),1)))))/(INDEX('Earth curves'!$E$2:$E$46,MAX(1,MIN(44,IFERROR(MATCH(W137,'Earth curves'!$E$2:$E$46,1),1)))+1)-INDEX('Earth curves'!$E$2:$E$46,MAX(1,MIN(44,IFERROR(MATCH(W137,'Earth curves'!$E$2:$E$46,1),1))))))</f>
        <v/>
      </c>
      <c r="Z137" s="6">
        <f>(MIN(X137/Config!$B$9,1)+MIN(Y137/Config!$B$10,1))/2</f>
        <v/>
      </c>
      <c r="AA137" s="10">
        <f>ROUND(MIN(22,MAX(3,X137*W137/Z137)),1)</f>
        <v/>
      </c>
      <c r="AB137" s="11" t="n"/>
      <c r="AC137" s="10">
        <f>IF(AB137="",AA137,AB137)</f>
        <v/>
      </c>
      <c r="AD137" s="10">
        <f>ROUND(MIN(Config!$B$10,MAX(1,Y137*W137/Z137)),1)</f>
        <v/>
      </c>
      <c r="AE137" s="11" t="n"/>
      <c r="AF137" s="10">
        <f>IF(AE137="",AD137,AE137)</f>
        <v/>
      </c>
      <c r="AG137" s="9">
        <f>(V137-Config!$B$7)/(Config!$B$8-Config!$B$7)</f>
        <v/>
      </c>
      <c r="AH137" s="9">
        <f>(MIN(AC137/Config!$B$9,1)+MIN(AF137/Config!$B$10,1))/2</f>
        <v/>
      </c>
      <c r="AI137" s="12">
        <f>ROUND((AG137*AH137*G137)^(1/3),3)</f>
        <v/>
      </c>
      <c r="AJ137" s="12" t="n">
        <v>0.843</v>
      </c>
      <c r="AK137" s="13">
        <f>AI137-AJ137</f>
        <v/>
      </c>
      <c r="AL137" s="13">
        <f>AK137-AVERAGE($AK$2:$AK$173)</f>
        <v/>
      </c>
      <c r="AM137" s="6">
        <f>IF(ABS(AL137)&gt;Config!$B$11,"REVIEW","")</f>
        <v/>
      </c>
      <c r="AN137" s="14">
        <f>RANK(AI137,$AI$2:$AI$173)</f>
        <v/>
      </c>
      <c r="AO137" s="14">
        <f>RANK(AJ137,$AJ$2:$AJ$173)</f>
        <v/>
      </c>
      <c r="AP137" s="14" t="n">
        <v>137</v>
      </c>
    </row>
    <row r="138">
      <c r="A138" s="6" t="inlineStr">
        <is>
          <t>Taniduna</t>
        </is>
      </c>
      <c r="B138" s="6" t="inlineStr">
        <is>
          <t>Acrola</t>
        </is>
      </c>
      <c r="C138" s="6" t="inlineStr">
        <is>
          <t>resource</t>
        </is>
      </c>
      <c r="D138" s="7" t="n">
        <v>1873</v>
      </c>
      <c r="E138" s="8">
        <f>D138*Config!$B$4</f>
        <v/>
      </c>
      <c r="F138" s="6">
        <f>LN(MAX(60,E138))</f>
        <v/>
      </c>
      <c r="G138" s="9">
        <f>MEDIAN(0,(F138-LN(Config!$B$5))/(LN(Config!$B$6)-LN(Config!$B$5)),1)</f>
        <v/>
      </c>
      <c r="H138" s="6">
        <f>MOD((Config!$B$2+$AP138*7919)*9301+49297,233280)/233280</f>
        <v/>
      </c>
      <c r="I138" s="6">
        <f>MOD((Config!$B$2+$AP138*104729)*4096+150889,714025)/714025</f>
        <v/>
      </c>
      <c r="J138" s="6">
        <f>MOD((Config!$B$2*31+$AP138*15485863)*1366+150889,714025)/714025</f>
        <v/>
      </c>
      <c r="K138" s="6" t="n">
        <v>0.013762</v>
      </c>
      <c r="L138" s="6" t="n">
        <v>-0.125566</v>
      </c>
      <c r="M138" s="6">
        <f>COUNTIF(Siblings!$A$2:$A$84,B138)</f>
        <v/>
      </c>
      <c r="N138" s="6">
        <f>1+INT(J138*M138)</f>
        <v/>
      </c>
      <c r="O138" s="6">
        <f>IF(K138&lt;&gt;"",K138,IFERROR(INDEX(Siblings!$D$2:$D$84,MATCH(B138&amp;"|"&amp;N138,Siblings!$F$2:$F$84,0)),0))</f>
        <v/>
      </c>
      <c r="P138" s="6">
        <f>IF(L138&lt;&gt;"",L138,IFERROR(INDEX(Siblings!$E$2:$E$84,MATCH(B138&amp;"|"&amp;N138,Siblings!$F$2:$F$84,0)),0))</f>
        <v/>
      </c>
      <c r="Q138" s="6">
        <f>(INDEX('Earth curves'!$B$2:$B$46,MAX(1,MIN(44,IFERROR(MATCH(F138,'Earth curves'!$A$2:$A$46,1),1))))+(F138-INDEX('Earth curves'!$A$2:$A$46,MAX(1,MIN(44,IFERROR(MATCH(F138,'Earth curves'!$A$2:$A$46,1),1)))))*(INDEX('Earth curves'!$B$2:$B$46,MAX(1,MIN(44,IFERROR(MATCH(F138,'Earth curves'!$A$2:$A$46,1),1)))+1)-INDEX('Earth curves'!$B$2:$B$46,MAX(1,MIN(44,IFERROR(MATCH(F138,'Earth curves'!$A$2:$A$46,1),1)))))/(INDEX('Earth curves'!$A$2:$A$46,MAX(1,MIN(44,IFERROR(MATCH(F138,'Earth curves'!$A$2:$A$46,1),1)))+1)-INDEX('Earth curves'!$A$2:$A$46,MAX(1,MIN(44,IFERROR(MATCH(F138,'Earth curves'!$A$2:$A$46,1),1))))))</f>
        <v/>
      </c>
      <c r="R138" s="6">
        <f>(INDEX('Earth curves'!$C$2:$C$46,MAX(1,MIN(44,IFERROR(MATCH(F138,'Earth curves'!$A$2:$A$46,1),1))))+(F138-INDEX('Earth curves'!$A$2:$A$46,MAX(1,MIN(44,IFERROR(MATCH(F138,'Earth curves'!$A$2:$A$46,1),1)))))*(INDEX('Earth curves'!$C$2:$C$46,MAX(1,MIN(44,IFERROR(MATCH(F138,'Earth curves'!$A$2:$A$46,1),1)))+1)-INDEX('Earth curves'!$C$2:$C$46,MAX(1,MIN(44,IFERROR(MATCH(F138,'Earth curves'!$A$2:$A$46,1),1)))))/(INDEX('Earth curves'!$A$2:$A$46,MAX(1,MIN(44,IFERROR(MATCH(F138,'Earth curves'!$A$2:$A$46,1),1)))+1)-INDEX('Earth curves'!$A$2:$A$46,MAX(1,MIN(44,IFERROR(MATCH(F138,'Earth curves'!$A$2:$A$46,1),1))))))</f>
        <v/>
      </c>
      <c r="S138" s="6">
        <f>MEDIAN(0.307692,Q138+MEDIAN(-0.350583,O138+NORMSINV(H138)*0.064828*Config!$B$3,0.120277),0.993846)</f>
        <v/>
      </c>
      <c r="T138" s="10">
        <f>ROUND(Config!$B$7+(Config!$B$8-Config!$B$7)*S138,1)</f>
        <v/>
      </c>
      <c r="U138" s="11" t="n"/>
      <c r="V138" s="10">
        <f>IF(U138="",T138,U138)</f>
        <v/>
      </c>
      <c r="W138" s="6">
        <f>MEDIAN(0.05,R138+MEDIAN(-0.302219,P138+NORMSINV(I138)*0.089531*Config!$B$3,0.274961),0.999)</f>
        <v/>
      </c>
      <c r="X138" s="6">
        <f>(INDEX('Earth curves'!$F$2:$F$46,MAX(1,MIN(44,IFERROR(MATCH(W138,'Earth curves'!$E$2:$E$46,1),1))))+(W138-INDEX('Earth curves'!$E$2:$E$46,MAX(1,MIN(44,IFERROR(MATCH(W138,'Earth curves'!$E$2:$E$46,1),1)))))*(INDEX('Earth curves'!$F$2:$F$46,MAX(1,MIN(44,IFERROR(MATCH(W138,'Earth curves'!$E$2:$E$46,1),1)))+1)-INDEX('Earth curves'!$F$2:$F$46,MAX(1,MIN(44,IFERROR(MATCH(W138,'Earth curves'!$E$2:$E$46,1),1)))))/(INDEX('Earth curves'!$E$2:$E$46,MAX(1,MIN(44,IFERROR(MATCH(W138,'Earth curves'!$E$2:$E$46,1),1)))+1)-INDEX('Earth curves'!$E$2:$E$46,MAX(1,MIN(44,IFERROR(MATCH(W138,'Earth curves'!$E$2:$E$46,1),1))))))</f>
        <v/>
      </c>
      <c r="Y138" s="6">
        <f>(INDEX('Earth curves'!$G$2:$G$46,MAX(1,MIN(44,IFERROR(MATCH(W138,'Earth curves'!$E$2:$E$46,1),1))))+(W138-INDEX('Earth curves'!$E$2:$E$46,MAX(1,MIN(44,IFERROR(MATCH(W138,'Earth curves'!$E$2:$E$46,1),1)))))*(INDEX('Earth curves'!$G$2:$G$46,MAX(1,MIN(44,IFERROR(MATCH(W138,'Earth curves'!$E$2:$E$46,1),1)))+1)-INDEX('Earth curves'!$G$2:$G$46,MAX(1,MIN(44,IFERROR(MATCH(W138,'Earth curves'!$E$2:$E$46,1),1)))))/(INDEX('Earth curves'!$E$2:$E$46,MAX(1,MIN(44,IFERROR(MATCH(W138,'Earth curves'!$E$2:$E$46,1),1)))+1)-INDEX('Earth curves'!$E$2:$E$46,MAX(1,MIN(44,IFERROR(MATCH(W138,'Earth curves'!$E$2:$E$46,1),1))))))</f>
        <v/>
      </c>
      <c r="Z138" s="6">
        <f>(MIN(X138/Config!$B$9,1)+MIN(Y138/Config!$B$10,1))/2</f>
        <v/>
      </c>
      <c r="AA138" s="10">
        <f>ROUND(MIN(22,MAX(3,X138*W138/Z138)),1)</f>
        <v/>
      </c>
      <c r="AB138" s="11" t="n"/>
      <c r="AC138" s="10">
        <f>IF(AB138="",AA138,AB138)</f>
        <v/>
      </c>
      <c r="AD138" s="10">
        <f>ROUND(MIN(Config!$B$10,MAX(1,Y138*W138/Z138)),1)</f>
        <v/>
      </c>
      <c r="AE138" s="11" t="n"/>
      <c r="AF138" s="10">
        <f>IF(AE138="",AD138,AE138)</f>
        <v/>
      </c>
      <c r="AG138" s="9">
        <f>(V138-Config!$B$7)/(Config!$B$8-Config!$B$7)</f>
        <v/>
      </c>
      <c r="AH138" s="9">
        <f>(MIN(AC138/Config!$B$9,1)+MIN(AF138/Config!$B$10,1))/2</f>
        <v/>
      </c>
      <c r="AI138" s="12">
        <f>ROUND((AG138*AH138*G138)^(1/3),3)</f>
        <v/>
      </c>
      <c r="AJ138" s="12" t="n">
        <v>0.505</v>
      </c>
      <c r="AK138" s="13">
        <f>AI138-AJ138</f>
        <v/>
      </c>
      <c r="AL138" s="13">
        <f>AK138-AVERAGE($AK$2:$AK$173)</f>
        <v/>
      </c>
      <c r="AM138" s="6">
        <f>IF(ABS(AL138)&gt;Config!$B$11,"REVIEW","")</f>
        <v/>
      </c>
      <c r="AN138" s="14">
        <f>RANK(AI138,$AI$2:$AI$173)</f>
        <v/>
      </c>
      <c r="AO138" s="14">
        <f>RANK(AJ138,$AJ$2:$AJ$173)</f>
        <v/>
      </c>
      <c r="AP138" s="14" t="n">
        <v>138</v>
      </c>
    </row>
    <row r="139">
      <c r="A139" s="6" t="inlineStr">
        <is>
          <t>Taoisia</t>
        </is>
      </c>
      <c r="B139" s="6" t="inlineStr">
        <is>
          <t>Mahea</t>
        </is>
      </c>
      <c r="C139" s="6" t="inlineStr">
        <is>
          <t>resource</t>
        </is>
      </c>
      <c r="D139" s="7" t="n">
        <v>14254</v>
      </c>
      <c r="E139" s="8">
        <f>D139*Config!$B$4</f>
        <v/>
      </c>
      <c r="F139" s="6">
        <f>LN(MAX(60,E139))</f>
        <v/>
      </c>
      <c r="G139" s="9">
        <f>MEDIAN(0,(F139-LN(Config!$B$5))/(LN(Config!$B$6)-LN(Config!$B$5)),1)</f>
        <v/>
      </c>
      <c r="H139" s="6">
        <f>MOD((Config!$B$2+$AP139*7919)*9301+49297,233280)/233280</f>
        <v/>
      </c>
      <c r="I139" s="6">
        <f>MOD((Config!$B$2+$AP139*104729)*4096+150889,714025)/714025</f>
        <v/>
      </c>
      <c r="J139" s="6">
        <f>MOD((Config!$B$2*31+$AP139*15485863)*1366+150889,714025)/714025</f>
        <v/>
      </c>
      <c r="K139" s="6" t="n"/>
      <c r="L139" s="6" t="n"/>
      <c r="M139" s="6">
        <f>COUNTIF(Siblings!$A$2:$A$84,B139)</f>
        <v/>
      </c>
      <c r="N139" s="6">
        <f>1+INT(J139*M139)</f>
        <v/>
      </c>
      <c r="O139" s="6">
        <f>IF(K139&lt;&gt;"",K139,IFERROR(INDEX(Siblings!$D$2:$D$84,MATCH(B139&amp;"|"&amp;N139,Siblings!$F$2:$F$84,0)),0))</f>
        <v/>
      </c>
      <c r="P139" s="6">
        <f>IF(L139&lt;&gt;"",L139,IFERROR(INDEX(Siblings!$E$2:$E$84,MATCH(B139&amp;"|"&amp;N139,Siblings!$F$2:$F$84,0)),0))</f>
        <v/>
      </c>
      <c r="Q139" s="6">
        <f>(INDEX('Earth curves'!$B$2:$B$46,MAX(1,MIN(44,IFERROR(MATCH(F139,'Earth curves'!$A$2:$A$46,1),1))))+(F139-INDEX('Earth curves'!$A$2:$A$46,MAX(1,MIN(44,IFERROR(MATCH(F139,'Earth curves'!$A$2:$A$46,1),1)))))*(INDEX('Earth curves'!$B$2:$B$46,MAX(1,MIN(44,IFERROR(MATCH(F139,'Earth curves'!$A$2:$A$46,1),1)))+1)-INDEX('Earth curves'!$B$2:$B$46,MAX(1,MIN(44,IFERROR(MATCH(F139,'Earth curves'!$A$2:$A$46,1),1)))))/(INDEX('Earth curves'!$A$2:$A$46,MAX(1,MIN(44,IFERROR(MATCH(F139,'Earth curves'!$A$2:$A$46,1),1)))+1)-INDEX('Earth curves'!$A$2:$A$46,MAX(1,MIN(44,IFERROR(MATCH(F139,'Earth curves'!$A$2:$A$46,1),1))))))</f>
        <v/>
      </c>
      <c r="R139" s="6">
        <f>(INDEX('Earth curves'!$C$2:$C$46,MAX(1,MIN(44,IFERROR(MATCH(F139,'Earth curves'!$A$2:$A$46,1),1))))+(F139-INDEX('Earth curves'!$A$2:$A$46,MAX(1,MIN(44,IFERROR(MATCH(F139,'Earth curves'!$A$2:$A$46,1),1)))))*(INDEX('Earth curves'!$C$2:$C$46,MAX(1,MIN(44,IFERROR(MATCH(F139,'Earth curves'!$A$2:$A$46,1),1)))+1)-INDEX('Earth curves'!$C$2:$C$46,MAX(1,MIN(44,IFERROR(MATCH(F139,'Earth curves'!$A$2:$A$46,1),1)))))/(INDEX('Earth curves'!$A$2:$A$46,MAX(1,MIN(44,IFERROR(MATCH(F139,'Earth curves'!$A$2:$A$46,1),1)))+1)-INDEX('Earth curves'!$A$2:$A$46,MAX(1,MIN(44,IFERROR(MATCH(F139,'Earth curves'!$A$2:$A$46,1),1))))))</f>
        <v/>
      </c>
      <c r="S139" s="6">
        <f>MEDIAN(0.307692,Q139+MEDIAN(-0.350583,O139+NORMSINV(H139)*0.064828*Config!$B$3,0.120277),0.993846)</f>
        <v/>
      </c>
      <c r="T139" s="10">
        <f>ROUND(Config!$B$7+(Config!$B$8-Config!$B$7)*S139,1)</f>
        <v/>
      </c>
      <c r="U139" s="11" t="n"/>
      <c r="V139" s="10">
        <f>IF(U139="",T139,U139)</f>
        <v/>
      </c>
      <c r="W139" s="6">
        <f>MEDIAN(0.05,R139+MEDIAN(-0.302219,P139+NORMSINV(I139)*0.089531*Config!$B$3,0.274961),0.999)</f>
        <v/>
      </c>
      <c r="X139" s="6">
        <f>(INDEX('Earth curves'!$F$2:$F$46,MAX(1,MIN(44,IFERROR(MATCH(W139,'Earth curves'!$E$2:$E$46,1),1))))+(W139-INDEX('Earth curves'!$E$2:$E$46,MAX(1,MIN(44,IFERROR(MATCH(W139,'Earth curves'!$E$2:$E$46,1),1)))))*(INDEX('Earth curves'!$F$2:$F$46,MAX(1,MIN(44,IFERROR(MATCH(W139,'Earth curves'!$E$2:$E$46,1),1)))+1)-INDEX('Earth curves'!$F$2:$F$46,MAX(1,MIN(44,IFERROR(MATCH(W139,'Earth curves'!$E$2:$E$46,1),1)))))/(INDEX('Earth curves'!$E$2:$E$46,MAX(1,MIN(44,IFERROR(MATCH(W139,'Earth curves'!$E$2:$E$46,1),1)))+1)-INDEX('Earth curves'!$E$2:$E$46,MAX(1,MIN(44,IFERROR(MATCH(W139,'Earth curves'!$E$2:$E$46,1),1))))))</f>
        <v/>
      </c>
      <c r="Y139" s="6">
        <f>(INDEX('Earth curves'!$G$2:$G$46,MAX(1,MIN(44,IFERROR(MATCH(W139,'Earth curves'!$E$2:$E$46,1),1))))+(W139-INDEX('Earth curves'!$E$2:$E$46,MAX(1,MIN(44,IFERROR(MATCH(W139,'Earth curves'!$E$2:$E$46,1),1)))))*(INDEX('Earth curves'!$G$2:$G$46,MAX(1,MIN(44,IFERROR(MATCH(W139,'Earth curves'!$E$2:$E$46,1),1)))+1)-INDEX('Earth curves'!$G$2:$G$46,MAX(1,MIN(44,IFERROR(MATCH(W139,'Earth curves'!$E$2:$E$46,1),1)))))/(INDEX('Earth curves'!$E$2:$E$46,MAX(1,MIN(44,IFERROR(MATCH(W139,'Earth curves'!$E$2:$E$46,1),1)))+1)-INDEX('Earth curves'!$E$2:$E$46,MAX(1,MIN(44,IFERROR(MATCH(W139,'Earth curves'!$E$2:$E$46,1),1))))))</f>
        <v/>
      </c>
      <c r="Z139" s="6">
        <f>(MIN(X139/Config!$B$9,1)+MIN(Y139/Config!$B$10,1))/2</f>
        <v/>
      </c>
      <c r="AA139" s="10">
        <f>ROUND(MIN(22,MAX(3,X139*W139/Z139)),1)</f>
        <v/>
      </c>
      <c r="AB139" s="11" t="n"/>
      <c r="AC139" s="10">
        <f>IF(AB139="",AA139,AB139)</f>
        <v/>
      </c>
      <c r="AD139" s="10">
        <f>ROUND(MIN(Config!$B$10,MAX(1,Y139*W139/Z139)),1)</f>
        <v/>
      </c>
      <c r="AE139" s="11" t="n"/>
      <c r="AF139" s="10">
        <f>IF(AE139="",AD139,AE139)</f>
        <v/>
      </c>
      <c r="AG139" s="9">
        <f>(V139-Config!$B$7)/(Config!$B$8-Config!$B$7)</f>
        <v/>
      </c>
      <c r="AH139" s="9">
        <f>(MIN(AC139/Config!$B$9,1)+MIN(AF139/Config!$B$10,1))/2</f>
        <v/>
      </c>
      <c r="AI139" s="12">
        <f>ROUND((AG139*AH139*G139)^(1/3),3)</f>
        <v/>
      </c>
      <c r="AJ139" s="12" t="n">
        <v>0.643</v>
      </c>
      <c r="AK139" s="13">
        <f>AI139-AJ139</f>
        <v/>
      </c>
      <c r="AL139" s="13">
        <f>AK139-AVERAGE($AK$2:$AK$173)</f>
        <v/>
      </c>
      <c r="AM139" s="6">
        <f>IF(ABS(AL139)&gt;Config!$B$11,"REVIEW","")</f>
        <v/>
      </c>
      <c r="AN139" s="14">
        <f>RANK(AI139,$AI$2:$AI$173)</f>
        <v/>
      </c>
      <c r="AO139" s="14">
        <f>RANK(AJ139,$AJ$2:$AJ$173)</f>
        <v/>
      </c>
      <c r="AP139" s="14" t="n">
        <v>139</v>
      </c>
    </row>
    <row r="140">
      <c r="A140" s="6" t="inlineStr">
        <is>
          <t>Taval</t>
        </is>
      </c>
      <c r="B140" s="6" t="inlineStr">
        <is>
          <t>Massir</t>
        </is>
      </c>
      <c r="C140" s="6" t="inlineStr">
        <is>
          <t>resource, tradehub, university</t>
        </is>
      </c>
      <c r="D140" s="7" t="n">
        <v>85079</v>
      </c>
      <c r="E140" s="8">
        <f>D140*Config!$B$4</f>
        <v/>
      </c>
      <c r="F140" s="6">
        <f>LN(MAX(60,E140))</f>
        <v/>
      </c>
      <c r="G140" s="9">
        <f>MEDIAN(0,(F140-LN(Config!$B$5))/(LN(Config!$B$6)-LN(Config!$B$5)),1)</f>
        <v/>
      </c>
      <c r="H140" s="6">
        <f>MOD((Config!$B$2+$AP140*7919)*9301+49297,233280)/233280</f>
        <v/>
      </c>
      <c r="I140" s="6">
        <f>MOD((Config!$B$2+$AP140*104729)*4096+150889,714025)/714025</f>
        <v/>
      </c>
      <c r="J140" s="6">
        <f>MOD((Config!$B$2*31+$AP140*15485863)*1366+150889,714025)/714025</f>
        <v/>
      </c>
      <c r="K140" s="6" t="n"/>
      <c r="L140" s="6" t="n"/>
      <c r="M140" s="6">
        <f>COUNTIF(Siblings!$A$2:$A$84,B140)</f>
        <v/>
      </c>
      <c r="N140" s="6">
        <f>1+INT(J140*M140)</f>
        <v/>
      </c>
      <c r="O140" s="6">
        <f>IF(K140&lt;&gt;"",K140,IFERROR(INDEX(Siblings!$D$2:$D$84,MATCH(B140&amp;"|"&amp;N140,Siblings!$F$2:$F$84,0)),0))</f>
        <v/>
      </c>
      <c r="P140" s="6">
        <f>IF(L140&lt;&gt;"",L140,IFERROR(INDEX(Siblings!$E$2:$E$84,MATCH(B140&amp;"|"&amp;N140,Siblings!$F$2:$F$84,0)),0))</f>
        <v/>
      </c>
      <c r="Q140" s="6">
        <f>(INDEX('Earth curves'!$B$2:$B$46,MAX(1,MIN(44,IFERROR(MATCH(F140,'Earth curves'!$A$2:$A$46,1),1))))+(F140-INDEX('Earth curves'!$A$2:$A$46,MAX(1,MIN(44,IFERROR(MATCH(F140,'Earth curves'!$A$2:$A$46,1),1)))))*(INDEX('Earth curves'!$B$2:$B$46,MAX(1,MIN(44,IFERROR(MATCH(F140,'Earth curves'!$A$2:$A$46,1),1)))+1)-INDEX('Earth curves'!$B$2:$B$46,MAX(1,MIN(44,IFERROR(MATCH(F140,'Earth curves'!$A$2:$A$46,1),1)))))/(INDEX('Earth curves'!$A$2:$A$46,MAX(1,MIN(44,IFERROR(MATCH(F140,'Earth curves'!$A$2:$A$46,1),1)))+1)-INDEX('Earth curves'!$A$2:$A$46,MAX(1,MIN(44,IFERROR(MATCH(F140,'Earth curves'!$A$2:$A$46,1),1))))))</f>
        <v/>
      </c>
      <c r="R140" s="6">
        <f>(INDEX('Earth curves'!$C$2:$C$46,MAX(1,MIN(44,IFERROR(MATCH(F140,'Earth curves'!$A$2:$A$46,1),1))))+(F140-INDEX('Earth curves'!$A$2:$A$46,MAX(1,MIN(44,IFERROR(MATCH(F140,'Earth curves'!$A$2:$A$46,1),1)))))*(INDEX('Earth curves'!$C$2:$C$46,MAX(1,MIN(44,IFERROR(MATCH(F140,'Earth curves'!$A$2:$A$46,1),1)))+1)-INDEX('Earth curves'!$C$2:$C$46,MAX(1,MIN(44,IFERROR(MATCH(F140,'Earth curves'!$A$2:$A$46,1),1)))))/(INDEX('Earth curves'!$A$2:$A$46,MAX(1,MIN(44,IFERROR(MATCH(F140,'Earth curves'!$A$2:$A$46,1),1)))+1)-INDEX('Earth curves'!$A$2:$A$46,MAX(1,MIN(44,IFERROR(MATCH(F140,'Earth curves'!$A$2:$A$46,1),1))))))</f>
        <v/>
      </c>
      <c r="S140" s="6">
        <f>MEDIAN(0.307692,Q140+MEDIAN(-0.350583,O140+NORMSINV(H140)*0.064828*Config!$B$3,0.120277),0.993846)</f>
        <v/>
      </c>
      <c r="T140" s="10">
        <f>ROUND(Config!$B$7+(Config!$B$8-Config!$B$7)*S140,1)</f>
        <v/>
      </c>
      <c r="U140" s="11" t="n"/>
      <c r="V140" s="10">
        <f>IF(U140="",T140,U140)</f>
        <v/>
      </c>
      <c r="W140" s="6">
        <f>MEDIAN(0.05,R140+MEDIAN(-0.302219,P140+NORMSINV(I140)*0.089531*Config!$B$3,0.274961),0.999)</f>
        <v/>
      </c>
      <c r="X140" s="6">
        <f>(INDEX('Earth curves'!$F$2:$F$46,MAX(1,MIN(44,IFERROR(MATCH(W140,'Earth curves'!$E$2:$E$46,1),1))))+(W140-INDEX('Earth curves'!$E$2:$E$46,MAX(1,MIN(44,IFERROR(MATCH(W140,'Earth curves'!$E$2:$E$46,1),1)))))*(INDEX('Earth curves'!$F$2:$F$46,MAX(1,MIN(44,IFERROR(MATCH(W140,'Earth curves'!$E$2:$E$46,1),1)))+1)-INDEX('Earth curves'!$F$2:$F$46,MAX(1,MIN(44,IFERROR(MATCH(W140,'Earth curves'!$E$2:$E$46,1),1)))))/(INDEX('Earth curves'!$E$2:$E$46,MAX(1,MIN(44,IFERROR(MATCH(W140,'Earth curves'!$E$2:$E$46,1),1)))+1)-INDEX('Earth curves'!$E$2:$E$46,MAX(1,MIN(44,IFERROR(MATCH(W140,'Earth curves'!$E$2:$E$46,1),1))))))</f>
        <v/>
      </c>
      <c r="Y140" s="6">
        <f>(INDEX('Earth curves'!$G$2:$G$46,MAX(1,MIN(44,IFERROR(MATCH(W140,'Earth curves'!$E$2:$E$46,1),1))))+(W140-INDEX('Earth curves'!$E$2:$E$46,MAX(1,MIN(44,IFERROR(MATCH(W140,'Earth curves'!$E$2:$E$46,1),1)))))*(INDEX('Earth curves'!$G$2:$G$46,MAX(1,MIN(44,IFERROR(MATCH(W140,'Earth curves'!$E$2:$E$46,1),1)))+1)-INDEX('Earth curves'!$G$2:$G$46,MAX(1,MIN(44,IFERROR(MATCH(W140,'Earth curves'!$E$2:$E$46,1),1)))))/(INDEX('Earth curves'!$E$2:$E$46,MAX(1,MIN(44,IFERROR(MATCH(W140,'Earth curves'!$E$2:$E$46,1),1)))+1)-INDEX('Earth curves'!$E$2:$E$46,MAX(1,MIN(44,IFERROR(MATCH(W140,'Earth curves'!$E$2:$E$46,1),1))))))</f>
        <v/>
      </c>
      <c r="Z140" s="6">
        <f>(MIN(X140/Config!$B$9,1)+MIN(Y140/Config!$B$10,1))/2</f>
        <v/>
      </c>
      <c r="AA140" s="10">
        <f>ROUND(MIN(22,MAX(3,X140*W140/Z140)),1)</f>
        <v/>
      </c>
      <c r="AB140" s="11" t="n"/>
      <c r="AC140" s="10">
        <f>IF(AB140="",AA140,AB140)</f>
        <v/>
      </c>
      <c r="AD140" s="10">
        <f>ROUND(MIN(Config!$B$10,MAX(1,Y140*W140/Z140)),1)</f>
        <v/>
      </c>
      <c r="AE140" s="11" t="n"/>
      <c r="AF140" s="10">
        <f>IF(AE140="",AD140,AE140)</f>
        <v/>
      </c>
      <c r="AG140" s="9">
        <f>(V140-Config!$B$7)/(Config!$B$8-Config!$B$7)</f>
        <v/>
      </c>
      <c r="AH140" s="9">
        <f>(MIN(AC140/Config!$B$9,1)+MIN(AF140/Config!$B$10,1))/2</f>
        <v/>
      </c>
      <c r="AI140" s="12">
        <f>ROUND((AG140*AH140*G140)^(1/3),3)</f>
        <v/>
      </c>
      <c r="AJ140" s="12" t="n">
        <v>0.852</v>
      </c>
      <c r="AK140" s="13">
        <f>AI140-AJ140</f>
        <v/>
      </c>
      <c r="AL140" s="13">
        <f>AK140-AVERAGE($AK$2:$AK$173)</f>
        <v/>
      </c>
      <c r="AM140" s="6">
        <f>IF(ABS(AL140)&gt;Config!$B$11,"REVIEW","")</f>
        <v/>
      </c>
      <c r="AN140" s="14">
        <f>RANK(AI140,$AI$2:$AI$173)</f>
        <v/>
      </c>
      <c r="AO140" s="14">
        <f>RANK(AJ140,$AJ$2:$AJ$173)</f>
        <v/>
      </c>
      <c r="AP140" s="14" t="n">
        <v>140</v>
      </c>
    </row>
    <row r="141">
      <c r="A141" s="6" t="inlineStr">
        <is>
          <t>Terressin</t>
        </is>
      </c>
      <c r="B141" s="6" t="inlineStr">
        <is>
          <t>Acrola</t>
        </is>
      </c>
      <c r="C141" s="6" t="inlineStr">
        <is>
          <t>resource</t>
        </is>
      </c>
      <c r="D141" s="7" t="n">
        <v>39048</v>
      </c>
      <c r="E141" s="8">
        <f>D141*Config!$B$4</f>
        <v/>
      </c>
      <c r="F141" s="6">
        <f>LN(MAX(60,E141))</f>
        <v/>
      </c>
      <c r="G141" s="9">
        <f>MEDIAN(0,(F141-LN(Config!$B$5))/(LN(Config!$B$6)-LN(Config!$B$5)),1)</f>
        <v/>
      </c>
      <c r="H141" s="6">
        <f>MOD((Config!$B$2+$AP141*7919)*9301+49297,233280)/233280</f>
        <v/>
      </c>
      <c r="I141" s="6">
        <f>MOD((Config!$B$2+$AP141*104729)*4096+150889,714025)/714025</f>
        <v/>
      </c>
      <c r="J141" s="6">
        <f>MOD((Config!$B$2*31+$AP141*15485863)*1366+150889,714025)/714025</f>
        <v/>
      </c>
      <c r="K141" s="6" t="n">
        <v>0.075999</v>
      </c>
      <c r="L141" s="6" t="n">
        <v>-0.04251</v>
      </c>
      <c r="M141" s="6">
        <f>COUNTIF(Siblings!$A$2:$A$84,B141)</f>
        <v/>
      </c>
      <c r="N141" s="6">
        <f>1+INT(J141*M141)</f>
        <v/>
      </c>
      <c r="O141" s="6">
        <f>IF(K141&lt;&gt;"",K141,IFERROR(INDEX(Siblings!$D$2:$D$84,MATCH(B141&amp;"|"&amp;N141,Siblings!$F$2:$F$84,0)),0))</f>
        <v/>
      </c>
      <c r="P141" s="6">
        <f>IF(L141&lt;&gt;"",L141,IFERROR(INDEX(Siblings!$E$2:$E$84,MATCH(B141&amp;"|"&amp;N141,Siblings!$F$2:$F$84,0)),0))</f>
        <v/>
      </c>
      <c r="Q141" s="6">
        <f>(INDEX('Earth curves'!$B$2:$B$46,MAX(1,MIN(44,IFERROR(MATCH(F141,'Earth curves'!$A$2:$A$46,1),1))))+(F141-INDEX('Earth curves'!$A$2:$A$46,MAX(1,MIN(44,IFERROR(MATCH(F141,'Earth curves'!$A$2:$A$46,1),1)))))*(INDEX('Earth curves'!$B$2:$B$46,MAX(1,MIN(44,IFERROR(MATCH(F141,'Earth curves'!$A$2:$A$46,1),1)))+1)-INDEX('Earth curves'!$B$2:$B$46,MAX(1,MIN(44,IFERROR(MATCH(F141,'Earth curves'!$A$2:$A$46,1),1)))))/(INDEX('Earth curves'!$A$2:$A$46,MAX(1,MIN(44,IFERROR(MATCH(F141,'Earth curves'!$A$2:$A$46,1),1)))+1)-INDEX('Earth curves'!$A$2:$A$46,MAX(1,MIN(44,IFERROR(MATCH(F141,'Earth curves'!$A$2:$A$46,1),1))))))</f>
        <v/>
      </c>
      <c r="R141" s="6">
        <f>(INDEX('Earth curves'!$C$2:$C$46,MAX(1,MIN(44,IFERROR(MATCH(F141,'Earth curves'!$A$2:$A$46,1),1))))+(F141-INDEX('Earth curves'!$A$2:$A$46,MAX(1,MIN(44,IFERROR(MATCH(F141,'Earth curves'!$A$2:$A$46,1),1)))))*(INDEX('Earth curves'!$C$2:$C$46,MAX(1,MIN(44,IFERROR(MATCH(F141,'Earth curves'!$A$2:$A$46,1),1)))+1)-INDEX('Earth curves'!$C$2:$C$46,MAX(1,MIN(44,IFERROR(MATCH(F141,'Earth curves'!$A$2:$A$46,1),1)))))/(INDEX('Earth curves'!$A$2:$A$46,MAX(1,MIN(44,IFERROR(MATCH(F141,'Earth curves'!$A$2:$A$46,1),1)))+1)-INDEX('Earth curves'!$A$2:$A$46,MAX(1,MIN(44,IFERROR(MATCH(F141,'Earth curves'!$A$2:$A$46,1),1))))))</f>
        <v/>
      </c>
      <c r="S141" s="6">
        <f>MEDIAN(0.307692,Q141+MEDIAN(-0.350583,O141+NORMSINV(H141)*0.064828*Config!$B$3,0.120277),0.993846)</f>
        <v/>
      </c>
      <c r="T141" s="10">
        <f>ROUND(Config!$B$7+(Config!$B$8-Config!$B$7)*S141,1)</f>
        <v/>
      </c>
      <c r="U141" s="11" t="n"/>
      <c r="V141" s="10">
        <f>IF(U141="",T141,U141)</f>
        <v/>
      </c>
      <c r="W141" s="6">
        <f>MEDIAN(0.05,R141+MEDIAN(-0.302219,P141+NORMSINV(I141)*0.089531*Config!$B$3,0.274961),0.999)</f>
        <v/>
      </c>
      <c r="X141" s="6">
        <f>(INDEX('Earth curves'!$F$2:$F$46,MAX(1,MIN(44,IFERROR(MATCH(W141,'Earth curves'!$E$2:$E$46,1),1))))+(W141-INDEX('Earth curves'!$E$2:$E$46,MAX(1,MIN(44,IFERROR(MATCH(W141,'Earth curves'!$E$2:$E$46,1),1)))))*(INDEX('Earth curves'!$F$2:$F$46,MAX(1,MIN(44,IFERROR(MATCH(W141,'Earth curves'!$E$2:$E$46,1),1)))+1)-INDEX('Earth curves'!$F$2:$F$46,MAX(1,MIN(44,IFERROR(MATCH(W141,'Earth curves'!$E$2:$E$46,1),1)))))/(INDEX('Earth curves'!$E$2:$E$46,MAX(1,MIN(44,IFERROR(MATCH(W141,'Earth curves'!$E$2:$E$46,1),1)))+1)-INDEX('Earth curves'!$E$2:$E$46,MAX(1,MIN(44,IFERROR(MATCH(W141,'Earth curves'!$E$2:$E$46,1),1))))))</f>
        <v/>
      </c>
      <c r="Y141" s="6">
        <f>(INDEX('Earth curves'!$G$2:$G$46,MAX(1,MIN(44,IFERROR(MATCH(W141,'Earth curves'!$E$2:$E$46,1),1))))+(W141-INDEX('Earth curves'!$E$2:$E$46,MAX(1,MIN(44,IFERROR(MATCH(W141,'Earth curves'!$E$2:$E$46,1),1)))))*(INDEX('Earth curves'!$G$2:$G$46,MAX(1,MIN(44,IFERROR(MATCH(W141,'Earth curves'!$E$2:$E$46,1),1)))+1)-INDEX('Earth curves'!$G$2:$G$46,MAX(1,MIN(44,IFERROR(MATCH(W141,'Earth curves'!$E$2:$E$46,1),1)))))/(INDEX('Earth curves'!$E$2:$E$46,MAX(1,MIN(44,IFERROR(MATCH(W141,'Earth curves'!$E$2:$E$46,1),1)))+1)-INDEX('Earth curves'!$E$2:$E$46,MAX(1,MIN(44,IFERROR(MATCH(W141,'Earth curves'!$E$2:$E$46,1),1))))))</f>
        <v/>
      </c>
      <c r="Z141" s="6">
        <f>(MIN(X141/Config!$B$9,1)+MIN(Y141/Config!$B$10,1))/2</f>
        <v/>
      </c>
      <c r="AA141" s="10">
        <f>ROUND(MIN(22,MAX(3,X141*W141/Z141)),1)</f>
        <v/>
      </c>
      <c r="AB141" s="11" t="n"/>
      <c r="AC141" s="10">
        <f>IF(AB141="",AA141,AB141)</f>
        <v/>
      </c>
      <c r="AD141" s="10">
        <f>ROUND(MIN(Config!$B$10,MAX(1,Y141*W141/Z141)),1)</f>
        <v/>
      </c>
      <c r="AE141" s="11" t="n"/>
      <c r="AF141" s="10">
        <f>IF(AE141="",AD141,AE141)</f>
        <v/>
      </c>
      <c r="AG141" s="9">
        <f>(V141-Config!$B$7)/(Config!$B$8-Config!$B$7)</f>
        <v/>
      </c>
      <c r="AH141" s="9">
        <f>(MIN(AC141/Config!$B$9,1)+MIN(AF141/Config!$B$10,1))/2</f>
        <v/>
      </c>
      <c r="AI141" s="12">
        <f>ROUND((AG141*AH141*G141)^(1/3),3)</f>
        <v/>
      </c>
      <c r="AJ141" s="12" t="n">
        <v>0.655</v>
      </c>
      <c r="AK141" s="13">
        <f>AI141-AJ141</f>
        <v/>
      </c>
      <c r="AL141" s="13">
        <f>AK141-AVERAGE($AK$2:$AK$173)</f>
        <v/>
      </c>
      <c r="AM141" s="6">
        <f>IF(ABS(AL141)&gt;Config!$B$11,"REVIEW","")</f>
        <v/>
      </c>
      <c r="AN141" s="14">
        <f>RANK(AI141,$AI$2:$AI$173)</f>
        <v/>
      </c>
      <c r="AO141" s="14">
        <f>RANK(AJ141,$AJ$2:$AJ$173)</f>
        <v/>
      </c>
      <c r="AP141" s="14" t="n">
        <v>141</v>
      </c>
    </row>
    <row r="142">
      <c r="A142" s="6" t="inlineStr">
        <is>
          <t>Tomscilus</t>
        </is>
      </c>
      <c r="B142" s="6" t="inlineStr">
        <is>
          <t>Atirha</t>
        </is>
      </c>
      <c r="C142" s="6" t="inlineStr">
        <is>
          <t>—</t>
        </is>
      </c>
      <c r="D142" s="7" t="n">
        <v>134286</v>
      </c>
      <c r="E142" s="8">
        <f>D142*Config!$B$4</f>
        <v/>
      </c>
      <c r="F142" s="6">
        <f>LN(MAX(60,E142))</f>
        <v/>
      </c>
      <c r="G142" s="9">
        <f>MEDIAN(0,(F142-LN(Config!$B$5))/(LN(Config!$B$6)-LN(Config!$B$5)),1)</f>
        <v/>
      </c>
      <c r="H142" s="6">
        <f>MOD((Config!$B$2+$AP142*7919)*9301+49297,233280)/233280</f>
        <v/>
      </c>
      <c r="I142" s="6">
        <f>MOD((Config!$B$2+$AP142*104729)*4096+150889,714025)/714025</f>
        <v/>
      </c>
      <c r="J142" s="6">
        <f>MOD((Config!$B$2*31+$AP142*15485863)*1366+150889,714025)/714025</f>
        <v/>
      </c>
      <c r="K142" s="6" t="n"/>
      <c r="L142" s="6" t="n"/>
      <c r="M142" s="6">
        <f>COUNTIF(Siblings!$A$2:$A$84,B142)</f>
        <v/>
      </c>
      <c r="N142" s="6">
        <f>1+INT(J142*M142)</f>
        <v/>
      </c>
      <c r="O142" s="6">
        <f>IF(K142&lt;&gt;"",K142,IFERROR(INDEX(Siblings!$D$2:$D$84,MATCH(B142&amp;"|"&amp;N142,Siblings!$F$2:$F$84,0)),0))</f>
        <v/>
      </c>
      <c r="P142" s="6">
        <f>IF(L142&lt;&gt;"",L142,IFERROR(INDEX(Siblings!$E$2:$E$84,MATCH(B142&amp;"|"&amp;N142,Siblings!$F$2:$F$84,0)),0))</f>
        <v/>
      </c>
      <c r="Q142" s="6">
        <f>(INDEX('Earth curves'!$B$2:$B$46,MAX(1,MIN(44,IFERROR(MATCH(F142,'Earth curves'!$A$2:$A$46,1),1))))+(F142-INDEX('Earth curves'!$A$2:$A$46,MAX(1,MIN(44,IFERROR(MATCH(F142,'Earth curves'!$A$2:$A$46,1),1)))))*(INDEX('Earth curves'!$B$2:$B$46,MAX(1,MIN(44,IFERROR(MATCH(F142,'Earth curves'!$A$2:$A$46,1),1)))+1)-INDEX('Earth curves'!$B$2:$B$46,MAX(1,MIN(44,IFERROR(MATCH(F142,'Earth curves'!$A$2:$A$46,1),1)))))/(INDEX('Earth curves'!$A$2:$A$46,MAX(1,MIN(44,IFERROR(MATCH(F142,'Earth curves'!$A$2:$A$46,1),1)))+1)-INDEX('Earth curves'!$A$2:$A$46,MAX(1,MIN(44,IFERROR(MATCH(F142,'Earth curves'!$A$2:$A$46,1),1))))))</f>
        <v/>
      </c>
      <c r="R142" s="6">
        <f>(INDEX('Earth curves'!$C$2:$C$46,MAX(1,MIN(44,IFERROR(MATCH(F142,'Earth curves'!$A$2:$A$46,1),1))))+(F142-INDEX('Earth curves'!$A$2:$A$46,MAX(1,MIN(44,IFERROR(MATCH(F142,'Earth curves'!$A$2:$A$46,1),1)))))*(INDEX('Earth curves'!$C$2:$C$46,MAX(1,MIN(44,IFERROR(MATCH(F142,'Earth curves'!$A$2:$A$46,1),1)))+1)-INDEX('Earth curves'!$C$2:$C$46,MAX(1,MIN(44,IFERROR(MATCH(F142,'Earth curves'!$A$2:$A$46,1),1)))))/(INDEX('Earth curves'!$A$2:$A$46,MAX(1,MIN(44,IFERROR(MATCH(F142,'Earth curves'!$A$2:$A$46,1),1)))+1)-INDEX('Earth curves'!$A$2:$A$46,MAX(1,MIN(44,IFERROR(MATCH(F142,'Earth curves'!$A$2:$A$46,1),1))))))</f>
        <v/>
      </c>
      <c r="S142" s="6">
        <f>MEDIAN(0.307692,Q142+MEDIAN(-0.350583,O142+NORMSINV(H142)*0.064828*Config!$B$3,0.120277),0.993846)</f>
        <v/>
      </c>
      <c r="T142" s="10">
        <f>ROUND(Config!$B$7+(Config!$B$8-Config!$B$7)*S142,1)</f>
        <v/>
      </c>
      <c r="U142" s="11" t="n"/>
      <c r="V142" s="10">
        <f>IF(U142="",T142,U142)</f>
        <v/>
      </c>
      <c r="W142" s="6">
        <f>MEDIAN(0.05,R142+MEDIAN(-0.302219,P142+NORMSINV(I142)*0.089531*Config!$B$3,0.274961),0.999)</f>
        <v/>
      </c>
      <c r="X142" s="6">
        <f>(INDEX('Earth curves'!$F$2:$F$46,MAX(1,MIN(44,IFERROR(MATCH(W142,'Earth curves'!$E$2:$E$46,1),1))))+(W142-INDEX('Earth curves'!$E$2:$E$46,MAX(1,MIN(44,IFERROR(MATCH(W142,'Earth curves'!$E$2:$E$46,1),1)))))*(INDEX('Earth curves'!$F$2:$F$46,MAX(1,MIN(44,IFERROR(MATCH(W142,'Earth curves'!$E$2:$E$46,1),1)))+1)-INDEX('Earth curves'!$F$2:$F$46,MAX(1,MIN(44,IFERROR(MATCH(W142,'Earth curves'!$E$2:$E$46,1),1)))))/(INDEX('Earth curves'!$E$2:$E$46,MAX(1,MIN(44,IFERROR(MATCH(W142,'Earth curves'!$E$2:$E$46,1),1)))+1)-INDEX('Earth curves'!$E$2:$E$46,MAX(1,MIN(44,IFERROR(MATCH(W142,'Earth curves'!$E$2:$E$46,1),1))))))</f>
        <v/>
      </c>
      <c r="Y142" s="6">
        <f>(INDEX('Earth curves'!$G$2:$G$46,MAX(1,MIN(44,IFERROR(MATCH(W142,'Earth curves'!$E$2:$E$46,1),1))))+(W142-INDEX('Earth curves'!$E$2:$E$46,MAX(1,MIN(44,IFERROR(MATCH(W142,'Earth curves'!$E$2:$E$46,1),1)))))*(INDEX('Earth curves'!$G$2:$G$46,MAX(1,MIN(44,IFERROR(MATCH(W142,'Earth curves'!$E$2:$E$46,1),1)))+1)-INDEX('Earth curves'!$G$2:$G$46,MAX(1,MIN(44,IFERROR(MATCH(W142,'Earth curves'!$E$2:$E$46,1),1)))))/(INDEX('Earth curves'!$E$2:$E$46,MAX(1,MIN(44,IFERROR(MATCH(W142,'Earth curves'!$E$2:$E$46,1),1)))+1)-INDEX('Earth curves'!$E$2:$E$46,MAX(1,MIN(44,IFERROR(MATCH(W142,'Earth curves'!$E$2:$E$46,1),1))))))</f>
        <v/>
      </c>
      <c r="Z142" s="6">
        <f>(MIN(X142/Config!$B$9,1)+MIN(Y142/Config!$B$10,1))/2</f>
        <v/>
      </c>
      <c r="AA142" s="10">
        <f>ROUND(MIN(22,MAX(3,X142*W142/Z142)),1)</f>
        <v/>
      </c>
      <c r="AB142" s="11" t="n"/>
      <c r="AC142" s="10">
        <f>IF(AB142="",AA142,AB142)</f>
        <v/>
      </c>
      <c r="AD142" s="10">
        <f>ROUND(MIN(Config!$B$10,MAX(1,Y142*W142/Z142)),1)</f>
        <v/>
      </c>
      <c r="AE142" s="11" t="n"/>
      <c r="AF142" s="10">
        <f>IF(AE142="",AD142,AE142)</f>
        <v/>
      </c>
      <c r="AG142" s="9">
        <f>(V142-Config!$B$7)/(Config!$B$8-Config!$B$7)</f>
        <v/>
      </c>
      <c r="AH142" s="9">
        <f>(MIN(AC142/Config!$B$9,1)+MIN(AF142/Config!$B$10,1))/2</f>
        <v/>
      </c>
      <c r="AI142" s="12">
        <f>ROUND((AG142*AH142*G142)^(1/3),3)</f>
        <v/>
      </c>
      <c r="AJ142" s="12" t="n">
        <v>0.914</v>
      </c>
      <c r="AK142" s="13">
        <f>AI142-AJ142</f>
        <v/>
      </c>
      <c r="AL142" s="13">
        <f>AK142-AVERAGE($AK$2:$AK$173)</f>
        <v/>
      </c>
      <c r="AM142" s="6">
        <f>IF(ABS(AL142)&gt;Config!$B$11,"REVIEW","")</f>
        <v/>
      </c>
      <c r="AN142" s="14">
        <f>RANK(AI142,$AI$2:$AI$173)</f>
        <v/>
      </c>
      <c r="AO142" s="14">
        <f>RANK(AJ142,$AJ$2:$AJ$173)</f>
        <v/>
      </c>
      <c r="AP142" s="14" t="n">
        <v>142</v>
      </c>
    </row>
    <row r="143">
      <c r="A143" s="6" t="inlineStr">
        <is>
          <t>Tonder</t>
        </is>
      </c>
      <c r="B143" s="6" t="inlineStr">
        <is>
          <t>Ayuma</t>
        </is>
      </c>
      <c r="C143" s="6" t="inlineStr">
        <is>
          <t>microstate, militarised</t>
        </is>
      </c>
      <c r="D143" s="7" t="n">
        <v>8571</v>
      </c>
      <c r="E143" s="8">
        <f>D143*Config!$B$4</f>
        <v/>
      </c>
      <c r="F143" s="6">
        <f>LN(MAX(60,E143))</f>
        <v/>
      </c>
      <c r="G143" s="9">
        <f>MEDIAN(0,(F143-LN(Config!$B$5))/(LN(Config!$B$6)-LN(Config!$B$5)),1)</f>
        <v/>
      </c>
      <c r="H143" s="6">
        <f>MOD((Config!$B$2+$AP143*7919)*9301+49297,233280)/233280</f>
        <v/>
      </c>
      <c r="I143" s="6">
        <f>MOD((Config!$B$2+$AP143*104729)*4096+150889,714025)/714025</f>
        <v/>
      </c>
      <c r="J143" s="6">
        <f>MOD((Config!$B$2*31+$AP143*15485863)*1366+150889,714025)/714025</f>
        <v/>
      </c>
      <c r="K143" s="6" t="n"/>
      <c r="L143" s="6" t="n"/>
      <c r="M143" s="6">
        <f>COUNTIF(Siblings!$A$2:$A$84,B143)</f>
        <v/>
      </c>
      <c r="N143" s="6">
        <f>1+INT(J143*M143)</f>
        <v/>
      </c>
      <c r="O143" s="6">
        <f>IF(K143&lt;&gt;"",K143,IFERROR(INDEX(Siblings!$D$2:$D$84,MATCH(B143&amp;"|"&amp;N143,Siblings!$F$2:$F$84,0)),0))</f>
        <v/>
      </c>
      <c r="P143" s="6">
        <f>IF(L143&lt;&gt;"",L143,IFERROR(INDEX(Siblings!$E$2:$E$84,MATCH(B143&amp;"|"&amp;N143,Siblings!$F$2:$F$84,0)),0))</f>
        <v/>
      </c>
      <c r="Q143" s="6">
        <f>(INDEX('Earth curves'!$B$2:$B$46,MAX(1,MIN(44,IFERROR(MATCH(F143,'Earth curves'!$A$2:$A$46,1),1))))+(F143-INDEX('Earth curves'!$A$2:$A$46,MAX(1,MIN(44,IFERROR(MATCH(F143,'Earth curves'!$A$2:$A$46,1),1)))))*(INDEX('Earth curves'!$B$2:$B$46,MAX(1,MIN(44,IFERROR(MATCH(F143,'Earth curves'!$A$2:$A$46,1),1)))+1)-INDEX('Earth curves'!$B$2:$B$46,MAX(1,MIN(44,IFERROR(MATCH(F143,'Earth curves'!$A$2:$A$46,1),1)))))/(INDEX('Earth curves'!$A$2:$A$46,MAX(1,MIN(44,IFERROR(MATCH(F143,'Earth curves'!$A$2:$A$46,1),1)))+1)-INDEX('Earth curves'!$A$2:$A$46,MAX(1,MIN(44,IFERROR(MATCH(F143,'Earth curves'!$A$2:$A$46,1),1))))))</f>
        <v/>
      </c>
      <c r="R143" s="6">
        <f>(INDEX('Earth curves'!$C$2:$C$46,MAX(1,MIN(44,IFERROR(MATCH(F143,'Earth curves'!$A$2:$A$46,1),1))))+(F143-INDEX('Earth curves'!$A$2:$A$46,MAX(1,MIN(44,IFERROR(MATCH(F143,'Earth curves'!$A$2:$A$46,1),1)))))*(INDEX('Earth curves'!$C$2:$C$46,MAX(1,MIN(44,IFERROR(MATCH(F143,'Earth curves'!$A$2:$A$46,1),1)))+1)-INDEX('Earth curves'!$C$2:$C$46,MAX(1,MIN(44,IFERROR(MATCH(F143,'Earth curves'!$A$2:$A$46,1),1)))))/(INDEX('Earth curves'!$A$2:$A$46,MAX(1,MIN(44,IFERROR(MATCH(F143,'Earth curves'!$A$2:$A$46,1),1)))+1)-INDEX('Earth curves'!$A$2:$A$46,MAX(1,MIN(44,IFERROR(MATCH(F143,'Earth curves'!$A$2:$A$46,1),1))))))</f>
        <v/>
      </c>
      <c r="S143" s="6">
        <f>MEDIAN(0.307692,Q143+MEDIAN(-0.350583,O143+NORMSINV(H143)*0.064828*Config!$B$3,0.120277),0.993846)</f>
        <v/>
      </c>
      <c r="T143" s="10">
        <f>ROUND(Config!$B$7+(Config!$B$8-Config!$B$7)*S143,1)</f>
        <v/>
      </c>
      <c r="U143" s="11" t="n"/>
      <c r="V143" s="10">
        <f>IF(U143="",T143,U143)</f>
        <v/>
      </c>
      <c r="W143" s="6">
        <f>MEDIAN(0.05,R143+MEDIAN(-0.302219,P143+NORMSINV(I143)*0.089531*Config!$B$3,0.274961),0.999)</f>
        <v/>
      </c>
      <c r="X143" s="6">
        <f>(INDEX('Earth curves'!$F$2:$F$46,MAX(1,MIN(44,IFERROR(MATCH(W143,'Earth curves'!$E$2:$E$46,1),1))))+(W143-INDEX('Earth curves'!$E$2:$E$46,MAX(1,MIN(44,IFERROR(MATCH(W143,'Earth curves'!$E$2:$E$46,1),1)))))*(INDEX('Earth curves'!$F$2:$F$46,MAX(1,MIN(44,IFERROR(MATCH(W143,'Earth curves'!$E$2:$E$46,1),1)))+1)-INDEX('Earth curves'!$F$2:$F$46,MAX(1,MIN(44,IFERROR(MATCH(W143,'Earth curves'!$E$2:$E$46,1),1)))))/(INDEX('Earth curves'!$E$2:$E$46,MAX(1,MIN(44,IFERROR(MATCH(W143,'Earth curves'!$E$2:$E$46,1),1)))+1)-INDEX('Earth curves'!$E$2:$E$46,MAX(1,MIN(44,IFERROR(MATCH(W143,'Earth curves'!$E$2:$E$46,1),1))))))</f>
        <v/>
      </c>
      <c r="Y143" s="6">
        <f>(INDEX('Earth curves'!$G$2:$G$46,MAX(1,MIN(44,IFERROR(MATCH(W143,'Earth curves'!$E$2:$E$46,1),1))))+(W143-INDEX('Earth curves'!$E$2:$E$46,MAX(1,MIN(44,IFERROR(MATCH(W143,'Earth curves'!$E$2:$E$46,1),1)))))*(INDEX('Earth curves'!$G$2:$G$46,MAX(1,MIN(44,IFERROR(MATCH(W143,'Earth curves'!$E$2:$E$46,1),1)))+1)-INDEX('Earth curves'!$G$2:$G$46,MAX(1,MIN(44,IFERROR(MATCH(W143,'Earth curves'!$E$2:$E$46,1),1)))))/(INDEX('Earth curves'!$E$2:$E$46,MAX(1,MIN(44,IFERROR(MATCH(W143,'Earth curves'!$E$2:$E$46,1),1)))+1)-INDEX('Earth curves'!$E$2:$E$46,MAX(1,MIN(44,IFERROR(MATCH(W143,'Earth curves'!$E$2:$E$46,1),1))))))</f>
        <v/>
      </c>
      <c r="Z143" s="6">
        <f>(MIN(X143/Config!$B$9,1)+MIN(Y143/Config!$B$10,1))/2</f>
        <v/>
      </c>
      <c r="AA143" s="10">
        <f>ROUND(MIN(22,MAX(3,X143*W143/Z143)),1)</f>
        <v/>
      </c>
      <c r="AB143" s="11" t="n"/>
      <c r="AC143" s="10">
        <f>IF(AB143="",AA143,AB143)</f>
        <v/>
      </c>
      <c r="AD143" s="10">
        <f>ROUND(MIN(Config!$B$10,MAX(1,Y143*W143/Z143)),1)</f>
        <v/>
      </c>
      <c r="AE143" s="11" t="n"/>
      <c r="AF143" s="10">
        <f>IF(AE143="",AD143,AE143)</f>
        <v/>
      </c>
      <c r="AG143" s="9">
        <f>(V143-Config!$B$7)/(Config!$B$8-Config!$B$7)</f>
        <v/>
      </c>
      <c r="AH143" s="9">
        <f>(MIN(AC143/Config!$B$9,1)+MIN(AF143/Config!$B$10,1))/2</f>
        <v/>
      </c>
      <c r="AI143" s="12">
        <f>ROUND((AG143*AH143*G143)^(1/3),3)</f>
        <v/>
      </c>
      <c r="AJ143" s="12" t="n">
        <v>0.662</v>
      </c>
      <c r="AK143" s="13">
        <f>AI143-AJ143</f>
        <v/>
      </c>
      <c r="AL143" s="13">
        <f>AK143-AVERAGE($AK$2:$AK$173)</f>
        <v/>
      </c>
      <c r="AM143" s="6">
        <f>IF(ABS(AL143)&gt;Config!$B$11,"REVIEW","")</f>
        <v/>
      </c>
      <c r="AN143" s="14">
        <f>RANK(AI143,$AI$2:$AI$173)</f>
        <v/>
      </c>
      <c r="AO143" s="14">
        <f>RANK(AJ143,$AJ$2:$AJ$173)</f>
        <v/>
      </c>
      <c r="AP143" s="14" t="n">
        <v>143</v>
      </c>
    </row>
    <row r="144">
      <c r="A144" s="6" t="inlineStr">
        <is>
          <t>Trevilla</t>
        </is>
      </c>
      <c r="B144" s="6" t="inlineStr">
        <is>
          <t>Acrola</t>
        </is>
      </c>
      <c r="C144" s="6" t="inlineStr">
        <is>
          <t>microstate</t>
        </is>
      </c>
      <c r="D144" s="7" t="n">
        <v>28254</v>
      </c>
      <c r="E144" s="8">
        <f>D144*Config!$B$4</f>
        <v/>
      </c>
      <c r="F144" s="6">
        <f>LN(MAX(60,E144))</f>
        <v/>
      </c>
      <c r="G144" s="9">
        <f>MEDIAN(0,(F144-LN(Config!$B$5))/(LN(Config!$B$6)-LN(Config!$B$5)),1)</f>
        <v/>
      </c>
      <c r="H144" s="6">
        <f>MOD((Config!$B$2+$AP144*7919)*9301+49297,233280)/233280</f>
        <v/>
      </c>
      <c r="I144" s="6">
        <f>MOD((Config!$B$2+$AP144*104729)*4096+150889,714025)/714025</f>
        <v/>
      </c>
      <c r="J144" s="6">
        <f>MOD((Config!$B$2*31+$AP144*15485863)*1366+150889,714025)/714025</f>
        <v/>
      </c>
      <c r="K144" s="6" t="n"/>
      <c r="L144" s="6" t="n"/>
      <c r="M144" s="6">
        <f>COUNTIF(Siblings!$A$2:$A$84,B144)</f>
        <v/>
      </c>
      <c r="N144" s="6">
        <f>1+INT(J144*M144)</f>
        <v/>
      </c>
      <c r="O144" s="6">
        <f>IF(K144&lt;&gt;"",K144,IFERROR(INDEX(Siblings!$D$2:$D$84,MATCH(B144&amp;"|"&amp;N144,Siblings!$F$2:$F$84,0)),0))</f>
        <v/>
      </c>
      <c r="P144" s="6">
        <f>IF(L144&lt;&gt;"",L144,IFERROR(INDEX(Siblings!$E$2:$E$84,MATCH(B144&amp;"|"&amp;N144,Siblings!$F$2:$F$84,0)),0))</f>
        <v/>
      </c>
      <c r="Q144" s="6">
        <f>(INDEX('Earth curves'!$B$2:$B$46,MAX(1,MIN(44,IFERROR(MATCH(F144,'Earth curves'!$A$2:$A$46,1),1))))+(F144-INDEX('Earth curves'!$A$2:$A$46,MAX(1,MIN(44,IFERROR(MATCH(F144,'Earth curves'!$A$2:$A$46,1),1)))))*(INDEX('Earth curves'!$B$2:$B$46,MAX(1,MIN(44,IFERROR(MATCH(F144,'Earth curves'!$A$2:$A$46,1),1)))+1)-INDEX('Earth curves'!$B$2:$B$46,MAX(1,MIN(44,IFERROR(MATCH(F144,'Earth curves'!$A$2:$A$46,1),1)))))/(INDEX('Earth curves'!$A$2:$A$46,MAX(1,MIN(44,IFERROR(MATCH(F144,'Earth curves'!$A$2:$A$46,1),1)))+1)-INDEX('Earth curves'!$A$2:$A$46,MAX(1,MIN(44,IFERROR(MATCH(F144,'Earth curves'!$A$2:$A$46,1),1))))))</f>
        <v/>
      </c>
      <c r="R144" s="6">
        <f>(INDEX('Earth curves'!$C$2:$C$46,MAX(1,MIN(44,IFERROR(MATCH(F144,'Earth curves'!$A$2:$A$46,1),1))))+(F144-INDEX('Earth curves'!$A$2:$A$46,MAX(1,MIN(44,IFERROR(MATCH(F144,'Earth curves'!$A$2:$A$46,1),1)))))*(INDEX('Earth curves'!$C$2:$C$46,MAX(1,MIN(44,IFERROR(MATCH(F144,'Earth curves'!$A$2:$A$46,1),1)))+1)-INDEX('Earth curves'!$C$2:$C$46,MAX(1,MIN(44,IFERROR(MATCH(F144,'Earth curves'!$A$2:$A$46,1),1)))))/(INDEX('Earth curves'!$A$2:$A$46,MAX(1,MIN(44,IFERROR(MATCH(F144,'Earth curves'!$A$2:$A$46,1),1)))+1)-INDEX('Earth curves'!$A$2:$A$46,MAX(1,MIN(44,IFERROR(MATCH(F144,'Earth curves'!$A$2:$A$46,1),1))))))</f>
        <v/>
      </c>
      <c r="S144" s="6">
        <f>MEDIAN(0.307692,Q144+MEDIAN(-0.350583,O144+NORMSINV(H144)*0.064828*Config!$B$3,0.120277),0.993846)</f>
        <v/>
      </c>
      <c r="T144" s="10">
        <f>ROUND(Config!$B$7+(Config!$B$8-Config!$B$7)*S144,1)</f>
        <v/>
      </c>
      <c r="U144" s="11" t="n"/>
      <c r="V144" s="10">
        <f>IF(U144="",T144,U144)</f>
        <v/>
      </c>
      <c r="W144" s="6">
        <f>MEDIAN(0.05,R144+MEDIAN(-0.302219,P144+NORMSINV(I144)*0.089531*Config!$B$3,0.274961),0.999)</f>
        <v/>
      </c>
      <c r="X144" s="6">
        <f>(INDEX('Earth curves'!$F$2:$F$46,MAX(1,MIN(44,IFERROR(MATCH(W144,'Earth curves'!$E$2:$E$46,1),1))))+(W144-INDEX('Earth curves'!$E$2:$E$46,MAX(1,MIN(44,IFERROR(MATCH(W144,'Earth curves'!$E$2:$E$46,1),1)))))*(INDEX('Earth curves'!$F$2:$F$46,MAX(1,MIN(44,IFERROR(MATCH(W144,'Earth curves'!$E$2:$E$46,1),1)))+1)-INDEX('Earth curves'!$F$2:$F$46,MAX(1,MIN(44,IFERROR(MATCH(W144,'Earth curves'!$E$2:$E$46,1),1)))))/(INDEX('Earth curves'!$E$2:$E$46,MAX(1,MIN(44,IFERROR(MATCH(W144,'Earth curves'!$E$2:$E$46,1),1)))+1)-INDEX('Earth curves'!$E$2:$E$46,MAX(1,MIN(44,IFERROR(MATCH(W144,'Earth curves'!$E$2:$E$46,1),1))))))</f>
        <v/>
      </c>
      <c r="Y144" s="6">
        <f>(INDEX('Earth curves'!$G$2:$G$46,MAX(1,MIN(44,IFERROR(MATCH(W144,'Earth curves'!$E$2:$E$46,1),1))))+(W144-INDEX('Earth curves'!$E$2:$E$46,MAX(1,MIN(44,IFERROR(MATCH(W144,'Earth curves'!$E$2:$E$46,1),1)))))*(INDEX('Earth curves'!$G$2:$G$46,MAX(1,MIN(44,IFERROR(MATCH(W144,'Earth curves'!$E$2:$E$46,1),1)))+1)-INDEX('Earth curves'!$G$2:$G$46,MAX(1,MIN(44,IFERROR(MATCH(W144,'Earth curves'!$E$2:$E$46,1),1)))))/(INDEX('Earth curves'!$E$2:$E$46,MAX(1,MIN(44,IFERROR(MATCH(W144,'Earth curves'!$E$2:$E$46,1),1)))+1)-INDEX('Earth curves'!$E$2:$E$46,MAX(1,MIN(44,IFERROR(MATCH(W144,'Earth curves'!$E$2:$E$46,1),1))))))</f>
        <v/>
      </c>
      <c r="Z144" s="6">
        <f>(MIN(X144/Config!$B$9,1)+MIN(Y144/Config!$B$10,1))/2</f>
        <v/>
      </c>
      <c r="AA144" s="10">
        <f>ROUND(MIN(22,MAX(3,X144*W144/Z144)),1)</f>
        <v/>
      </c>
      <c r="AB144" s="11" t="n"/>
      <c r="AC144" s="10">
        <f>IF(AB144="",AA144,AB144)</f>
        <v/>
      </c>
      <c r="AD144" s="10">
        <f>ROUND(MIN(Config!$B$10,MAX(1,Y144*W144/Z144)),1)</f>
        <v/>
      </c>
      <c r="AE144" s="11" t="n"/>
      <c r="AF144" s="10">
        <f>IF(AE144="",AD144,AE144)</f>
        <v/>
      </c>
      <c r="AG144" s="9">
        <f>(V144-Config!$B$7)/(Config!$B$8-Config!$B$7)</f>
        <v/>
      </c>
      <c r="AH144" s="9">
        <f>(MIN(AC144/Config!$B$9,1)+MIN(AF144/Config!$B$10,1))/2</f>
        <v/>
      </c>
      <c r="AI144" s="12">
        <f>ROUND((AG144*AH144*G144)^(1/3),3)</f>
        <v/>
      </c>
      <c r="AJ144" s="12" t="n">
        <v>0.747</v>
      </c>
      <c r="AK144" s="13">
        <f>AI144-AJ144</f>
        <v/>
      </c>
      <c r="AL144" s="13">
        <f>AK144-AVERAGE($AK$2:$AK$173)</f>
        <v/>
      </c>
      <c r="AM144" s="6">
        <f>IF(ABS(AL144)&gt;Config!$B$11,"REVIEW","")</f>
        <v/>
      </c>
      <c r="AN144" s="14">
        <f>RANK(AI144,$AI$2:$AI$173)</f>
        <v/>
      </c>
      <c r="AO144" s="14">
        <f>RANK(AJ144,$AJ$2:$AJ$173)</f>
        <v/>
      </c>
      <c r="AP144" s="14" t="n">
        <v>144</v>
      </c>
    </row>
    <row r="145">
      <c r="A145" s="6" t="inlineStr">
        <is>
          <t>Trian</t>
        </is>
      </c>
      <c r="B145" s="6" t="inlineStr">
        <is>
          <t>Mahea</t>
        </is>
      </c>
      <c r="C145" s="6" t="inlineStr">
        <is>
          <t>resource</t>
        </is>
      </c>
      <c r="D145" s="7" t="n">
        <v>124127</v>
      </c>
      <c r="E145" s="8">
        <f>D145*Config!$B$4</f>
        <v/>
      </c>
      <c r="F145" s="6">
        <f>LN(MAX(60,E145))</f>
        <v/>
      </c>
      <c r="G145" s="9">
        <f>MEDIAN(0,(F145-LN(Config!$B$5))/(LN(Config!$B$6)-LN(Config!$B$5)),1)</f>
        <v/>
      </c>
      <c r="H145" s="6">
        <f>MOD((Config!$B$2+$AP145*7919)*9301+49297,233280)/233280</f>
        <v/>
      </c>
      <c r="I145" s="6">
        <f>MOD((Config!$B$2+$AP145*104729)*4096+150889,714025)/714025</f>
        <v/>
      </c>
      <c r="J145" s="6">
        <f>MOD((Config!$B$2*31+$AP145*15485863)*1366+150889,714025)/714025</f>
        <v/>
      </c>
      <c r="K145" s="6" t="n">
        <v>0.057014</v>
      </c>
      <c r="L145" s="6" t="n">
        <v>0.059675</v>
      </c>
      <c r="M145" s="6">
        <f>COUNTIF(Siblings!$A$2:$A$84,B145)</f>
        <v/>
      </c>
      <c r="N145" s="6">
        <f>1+INT(J145*M145)</f>
        <v/>
      </c>
      <c r="O145" s="6">
        <f>IF(K145&lt;&gt;"",K145,IFERROR(INDEX(Siblings!$D$2:$D$84,MATCH(B145&amp;"|"&amp;N145,Siblings!$F$2:$F$84,0)),0))</f>
        <v/>
      </c>
      <c r="P145" s="6">
        <f>IF(L145&lt;&gt;"",L145,IFERROR(INDEX(Siblings!$E$2:$E$84,MATCH(B145&amp;"|"&amp;N145,Siblings!$F$2:$F$84,0)),0))</f>
        <v/>
      </c>
      <c r="Q145" s="6">
        <f>(INDEX('Earth curves'!$B$2:$B$46,MAX(1,MIN(44,IFERROR(MATCH(F145,'Earth curves'!$A$2:$A$46,1),1))))+(F145-INDEX('Earth curves'!$A$2:$A$46,MAX(1,MIN(44,IFERROR(MATCH(F145,'Earth curves'!$A$2:$A$46,1),1)))))*(INDEX('Earth curves'!$B$2:$B$46,MAX(1,MIN(44,IFERROR(MATCH(F145,'Earth curves'!$A$2:$A$46,1),1)))+1)-INDEX('Earth curves'!$B$2:$B$46,MAX(1,MIN(44,IFERROR(MATCH(F145,'Earth curves'!$A$2:$A$46,1),1)))))/(INDEX('Earth curves'!$A$2:$A$46,MAX(1,MIN(44,IFERROR(MATCH(F145,'Earth curves'!$A$2:$A$46,1),1)))+1)-INDEX('Earth curves'!$A$2:$A$46,MAX(1,MIN(44,IFERROR(MATCH(F145,'Earth curves'!$A$2:$A$46,1),1))))))</f>
        <v/>
      </c>
      <c r="R145" s="6">
        <f>(INDEX('Earth curves'!$C$2:$C$46,MAX(1,MIN(44,IFERROR(MATCH(F145,'Earth curves'!$A$2:$A$46,1),1))))+(F145-INDEX('Earth curves'!$A$2:$A$46,MAX(1,MIN(44,IFERROR(MATCH(F145,'Earth curves'!$A$2:$A$46,1),1)))))*(INDEX('Earth curves'!$C$2:$C$46,MAX(1,MIN(44,IFERROR(MATCH(F145,'Earth curves'!$A$2:$A$46,1),1)))+1)-INDEX('Earth curves'!$C$2:$C$46,MAX(1,MIN(44,IFERROR(MATCH(F145,'Earth curves'!$A$2:$A$46,1),1)))))/(INDEX('Earth curves'!$A$2:$A$46,MAX(1,MIN(44,IFERROR(MATCH(F145,'Earth curves'!$A$2:$A$46,1),1)))+1)-INDEX('Earth curves'!$A$2:$A$46,MAX(1,MIN(44,IFERROR(MATCH(F145,'Earth curves'!$A$2:$A$46,1),1))))))</f>
        <v/>
      </c>
      <c r="S145" s="6">
        <f>MEDIAN(0.307692,Q145+MEDIAN(-0.350583,O145+NORMSINV(H145)*0.064828*Config!$B$3,0.120277),0.993846)</f>
        <v/>
      </c>
      <c r="T145" s="10">
        <f>ROUND(Config!$B$7+(Config!$B$8-Config!$B$7)*S145,1)</f>
        <v/>
      </c>
      <c r="U145" s="11" t="n"/>
      <c r="V145" s="10">
        <f>IF(U145="",T145,U145)</f>
        <v/>
      </c>
      <c r="W145" s="6">
        <f>MEDIAN(0.05,R145+MEDIAN(-0.302219,P145+NORMSINV(I145)*0.089531*Config!$B$3,0.274961),0.999)</f>
        <v/>
      </c>
      <c r="X145" s="6">
        <f>(INDEX('Earth curves'!$F$2:$F$46,MAX(1,MIN(44,IFERROR(MATCH(W145,'Earth curves'!$E$2:$E$46,1),1))))+(W145-INDEX('Earth curves'!$E$2:$E$46,MAX(1,MIN(44,IFERROR(MATCH(W145,'Earth curves'!$E$2:$E$46,1),1)))))*(INDEX('Earth curves'!$F$2:$F$46,MAX(1,MIN(44,IFERROR(MATCH(W145,'Earth curves'!$E$2:$E$46,1),1)))+1)-INDEX('Earth curves'!$F$2:$F$46,MAX(1,MIN(44,IFERROR(MATCH(W145,'Earth curves'!$E$2:$E$46,1),1)))))/(INDEX('Earth curves'!$E$2:$E$46,MAX(1,MIN(44,IFERROR(MATCH(W145,'Earth curves'!$E$2:$E$46,1),1)))+1)-INDEX('Earth curves'!$E$2:$E$46,MAX(1,MIN(44,IFERROR(MATCH(W145,'Earth curves'!$E$2:$E$46,1),1))))))</f>
        <v/>
      </c>
      <c r="Y145" s="6">
        <f>(INDEX('Earth curves'!$G$2:$G$46,MAX(1,MIN(44,IFERROR(MATCH(W145,'Earth curves'!$E$2:$E$46,1),1))))+(W145-INDEX('Earth curves'!$E$2:$E$46,MAX(1,MIN(44,IFERROR(MATCH(W145,'Earth curves'!$E$2:$E$46,1),1)))))*(INDEX('Earth curves'!$G$2:$G$46,MAX(1,MIN(44,IFERROR(MATCH(W145,'Earth curves'!$E$2:$E$46,1),1)))+1)-INDEX('Earth curves'!$G$2:$G$46,MAX(1,MIN(44,IFERROR(MATCH(W145,'Earth curves'!$E$2:$E$46,1),1)))))/(INDEX('Earth curves'!$E$2:$E$46,MAX(1,MIN(44,IFERROR(MATCH(W145,'Earth curves'!$E$2:$E$46,1),1)))+1)-INDEX('Earth curves'!$E$2:$E$46,MAX(1,MIN(44,IFERROR(MATCH(W145,'Earth curves'!$E$2:$E$46,1),1))))))</f>
        <v/>
      </c>
      <c r="Z145" s="6">
        <f>(MIN(X145/Config!$B$9,1)+MIN(Y145/Config!$B$10,1))/2</f>
        <v/>
      </c>
      <c r="AA145" s="10">
        <f>ROUND(MIN(22,MAX(3,X145*W145/Z145)),1)</f>
        <v/>
      </c>
      <c r="AB145" s="11" t="n"/>
      <c r="AC145" s="10">
        <f>IF(AB145="",AA145,AB145)</f>
        <v/>
      </c>
      <c r="AD145" s="10">
        <f>ROUND(MIN(Config!$B$10,MAX(1,Y145*W145/Z145)),1)</f>
        <v/>
      </c>
      <c r="AE145" s="11" t="n"/>
      <c r="AF145" s="10">
        <f>IF(AE145="",AD145,AE145)</f>
        <v/>
      </c>
      <c r="AG145" s="9">
        <f>(V145-Config!$B$7)/(Config!$B$8-Config!$B$7)</f>
        <v/>
      </c>
      <c r="AH145" s="9">
        <f>(MIN(AC145/Config!$B$9,1)+MIN(AF145/Config!$B$10,1))/2</f>
        <v/>
      </c>
      <c r="AI145" s="12">
        <f>ROUND((AG145*AH145*G145)^(1/3),3)</f>
        <v/>
      </c>
      <c r="AJ145" s="12" t="n">
        <v>0.847</v>
      </c>
      <c r="AK145" s="13">
        <f>AI145-AJ145</f>
        <v/>
      </c>
      <c r="AL145" s="13">
        <f>AK145-AVERAGE($AK$2:$AK$173)</f>
        <v/>
      </c>
      <c r="AM145" s="6">
        <f>IF(ABS(AL145)&gt;Config!$B$11,"REVIEW","")</f>
        <v/>
      </c>
      <c r="AN145" s="14">
        <f>RANK(AI145,$AI$2:$AI$173)</f>
        <v/>
      </c>
      <c r="AO145" s="14">
        <f>RANK(AJ145,$AJ$2:$AJ$173)</f>
        <v/>
      </c>
      <c r="AP145" s="14" t="n">
        <v>145</v>
      </c>
    </row>
    <row r="146">
      <c r="A146" s="6" t="inlineStr">
        <is>
          <t>Tvecoca</t>
        </is>
      </c>
      <c r="B146" s="6" t="inlineStr">
        <is>
          <t>New Ayre</t>
        </is>
      </c>
      <c r="C146" s="6" t="inlineStr">
        <is>
          <t>microstate</t>
        </is>
      </c>
      <c r="D146" s="7" t="n">
        <v>74603</v>
      </c>
      <c r="E146" s="8">
        <f>D146*Config!$B$4</f>
        <v/>
      </c>
      <c r="F146" s="6">
        <f>LN(MAX(60,E146))</f>
        <v/>
      </c>
      <c r="G146" s="9">
        <f>MEDIAN(0,(F146-LN(Config!$B$5))/(LN(Config!$B$6)-LN(Config!$B$5)),1)</f>
        <v/>
      </c>
      <c r="H146" s="6">
        <f>MOD((Config!$B$2+$AP146*7919)*9301+49297,233280)/233280</f>
        <v/>
      </c>
      <c r="I146" s="6">
        <f>MOD((Config!$B$2+$AP146*104729)*4096+150889,714025)/714025</f>
        <v/>
      </c>
      <c r="J146" s="6">
        <f>MOD((Config!$B$2*31+$AP146*15485863)*1366+150889,714025)/714025</f>
        <v/>
      </c>
      <c r="K146" s="6" t="n"/>
      <c r="L146" s="6" t="n"/>
      <c r="M146" s="6">
        <f>COUNTIF(Siblings!$A$2:$A$84,B146)</f>
        <v/>
      </c>
      <c r="N146" s="6">
        <f>1+INT(J146*M146)</f>
        <v/>
      </c>
      <c r="O146" s="6">
        <f>IF(K146&lt;&gt;"",K146,IFERROR(INDEX(Siblings!$D$2:$D$84,MATCH(B146&amp;"|"&amp;N146,Siblings!$F$2:$F$84,0)),0))</f>
        <v/>
      </c>
      <c r="P146" s="6">
        <f>IF(L146&lt;&gt;"",L146,IFERROR(INDEX(Siblings!$E$2:$E$84,MATCH(B146&amp;"|"&amp;N146,Siblings!$F$2:$F$84,0)),0))</f>
        <v/>
      </c>
      <c r="Q146" s="6">
        <f>(INDEX('Earth curves'!$B$2:$B$46,MAX(1,MIN(44,IFERROR(MATCH(F146,'Earth curves'!$A$2:$A$46,1),1))))+(F146-INDEX('Earth curves'!$A$2:$A$46,MAX(1,MIN(44,IFERROR(MATCH(F146,'Earth curves'!$A$2:$A$46,1),1)))))*(INDEX('Earth curves'!$B$2:$B$46,MAX(1,MIN(44,IFERROR(MATCH(F146,'Earth curves'!$A$2:$A$46,1),1)))+1)-INDEX('Earth curves'!$B$2:$B$46,MAX(1,MIN(44,IFERROR(MATCH(F146,'Earth curves'!$A$2:$A$46,1),1)))))/(INDEX('Earth curves'!$A$2:$A$46,MAX(1,MIN(44,IFERROR(MATCH(F146,'Earth curves'!$A$2:$A$46,1),1)))+1)-INDEX('Earth curves'!$A$2:$A$46,MAX(1,MIN(44,IFERROR(MATCH(F146,'Earth curves'!$A$2:$A$46,1),1))))))</f>
        <v/>
      </c>
      <c r="R146" s="6">
        <f>(INDEX('Earth curves'!$C$2:$C$46,MAX(1,MIN(44,IFERROR(MATCH(F146,'Earth curves'!$A$2:$A$46,1),1))))+(F146-INDEX('Earth curves'!$A$2:$A$46,MAX(1,MIN(44,IFERROR(MATCH(F146,'Earth curves'!$A$2:$A$46,1),1)))))*(INDEX('Earth curves'!$C$2:$C$46,MAX(1,MIN(44,IFERROR(MATCH(F146,'Earth curves'!$A$2:$A$46,1),1)))+1)-INDEX('Earth curves'!$C$2:$C$46,MAX(1,MIN(44,IFERROR(MATCH(F146,'Earth curves'!$A$2:$A$46,1),1)))))/(INDEX('Earth curves'!$A$2:$A$46,MAX(1,MIN(44,IFERROR(MATCH(F146,'Earth curves'!$A$2:$A$46,1),1)))+1)-INDEX('Earth curves'!$A$2:$A$46,MAX(1,MIN(44,IFERROR(MATCH(F146,'Earth curves'!$A$2:$A$46,1),1))))))</f>
        <v/>
      </c>
      <c r="S146" s="6">
        <f>MEDIAN(0.307692,Q146+MEDIAN(-0.350583,O146+NORMSINV(H146)*0.064828*Config!$B$3,0.120277),0.993846)</f>
        <v/>
      </c>
      <c r="T146" s="10">
        <f>ROUND(Config!$B$7+(Config!$B$8-Config!$B$7)*S146,1)</f>
        <v/>
      </c>
      <c r="U146" s="11" t="n"/>
      <c r="V146" s="10">
        <f>IF(U146="",T146,U146)</f>
        <v/>
      </c>
      <c r="W146" s="6">
        <f>MEDIAN(0.05,R146+MEDIAN(-0.302219,P146+NORMSINV(I146)*0.089531*Config!$B$3,0.274961),0.999)</f>
        <v/>
      </c>
      <c r="X146" s="6">
        <f>(INDEX('Earth curves'!$F$2:$F$46,MAX(1,MIN(44,IFERROR(MATCH(W146,'Earth curves'!$E$2:$E$46,1),1))))+(W146-INDEX('Earth curves'!$E$2:$E$46,MAX(1,MIN(44,IFERROR(MATCH(W146,'Earth curves'!$E$2:$E$46,1),1)))))*(INDEX('Earth curves'!$F$2:$F$46,MAX(1,MIN(44,IFERROR(MATCH(W146,'Earth curves'!$E$2:$E$46,1),1)))+1)-INDEX('Earth curves'!$F$2:$F$46,MAX(1,MIN(44,IFERROR(MATCH(W146,'Earth curves'!$E$2:$E$46,1),1)))))/(INDEX('Earth curves'!$E$2:$E$46,MAX(1,MIN(44,IFERROR(MATCH(W146,'Earth curves'!$E$2:$E$46,1),1)))+1)-INDEX('Earth curves'!$E$2:$E$46,MAX(1,MIN(44,IFERROR(MATCH(W146,'Earth curves'!$E$2:$E$46,1),1))))))</f>
        <v/>
      </c>
      <c r="Y146" s="6">
        <f>(INDEX('Earth curves'!$G$2:$G$46,MAX(1,MIN(44,IFERROR(MATCH(W146,'Earth curves'!$E$2:$E$46,1),1))))+(W146-INDEX('Earth curves'!$E$2:$E$46,MAX(1,MIN(44,IFERROR(MATCH(W146,'Earth curves'!$E$2:$E$46,1),1)))))*(INDEX('Earth curves'!$G$2:$G$46,MAX(1,MIN(44,IFERROR(MATCH(W146,'Earth curves'!$E$2:$E$46,1),1)))+1)-INDEX('Earth curves'!$G$2:$G$46,MAX(1,MIN(44,IFERROR(MATCH(W146,'Earth curves'!$E$2:$E$46,1),1)))))/(INDEX('Earth curves'!$E$2:$E$46,MAX(1,MIN(44,IFERROR(MATCH(W146,'Earth curves'!$E$2:$E$46,1),1)))+1)-INDEX('Earth curves'!$E$2:$E$46,MAX(1,MIN(44,IFERROR(MATCH(W146,'Earth curves'!$E$2:$E$46,1),1))))))</f>
        <v/>
      </c>
      <c r="Z146" s="6">
        <f>(MIN(X146/Config!$B$9,1)+MIN(Y146/Config!$B$10,1))/2</f>
        <v/>
      </c>
      <c r="AA146" s="10">
        <f>ROUND(MIN(22,MAX(3,X146*W146/Z146)),1)</f>
        <v/>
      </c>
      <c r="AB146" s="11" t="n"/>
      <c r="AC146" s="10">
        <f>IF(AB146="",AA146,AB146)</f>
        <v/>
      </c>
      <c r="AD146" s="10">
        <f>ROUND(MIN(Config!$B$10,MAX(1,Y146*W146/Z146)),1)</f>
        <v/>
      </c>
      <c r="AE146" s="11" t="n"/>
      <c r="AF146" s="10">
        <f>IF(AE146="",AD146,AE146)</f>
        <v/>
      </c>
      <c r="AG146" s="9">
        <f>(V146-Config!$B$7)/(Config!$B$8-Config!$B$7)</f>
        <v/>
      </c>
      <c r="AH146" s="9">
        <f>(MIN(AC146/Config!$B$9,1)+MIN(AF146/Config!$B$10,1))/2</f>
        <v/>
      </c>
      <c r="AI146" s="12">
        <f>ROUND((AG146*AH146*G146)^(1/3),3)</f>
        <v/>
      </c>
      <c r="AJ146" s="12" t="n">
        <v>0.822</v>
      </c>
      <c r="AK146" s="13">
        <f>AI146-AJ146</f>
        <v/>
      </c>
      <c r="AL146" s="13">
        <f>AK146-AVERAGE($AK$2:$AK$173)</f>
        <v/>
      </c>
      <c r="AM146" s="6">
        <f>IF(ABS(AL146)&gt;Config!$B$11,"REVIEW","")</f>
        <v/>
      </c>
      <c r="AN146" s="14">
        <f>RANK(AI146,$AI$2:$AI$173)</f>
        <v/>
      </c>
      <c r="AO146" s="14">
        <f>RANK(AJ146,$AJ$2:$AJ$173)</f>
        <v/>
      </c>
      <c r="AP146" s="14" t="n">
        <v>146</v>
      </c>
    </row>
    <row r="147">
      <c r="A147" s="6" t="inlineStr">
        <is>
          <t>Ucrua</t>
        </is>
      </c>
      <c r="B147" s="6" t="inlineStr">
        <is>
          <t>Massir</t>
        </is>
      </c>
      <c r="C147" s="6" t="inlineStr">
        <is>
          <t>resource</t>
        </is>
      </c>
      <c r="D147" s="7" t="n">
        <v>13270</v>
      </c>
      <c r="E147" s="8">
        <f>D147*Config!$B$4</f>
        <v/>
      </c>
      <c r="F147" s="6">
        <f>LN(MAX(60,E147))</f>
        <v/>
      </c>
      <c r="G147" s="9">
        <f>MEDIAN(0,(F147-LN(Config!$B$5))/(LN(Config!$B$6)-LN(Config!$B$5)),1)</f>
        <v/>
      </c>
      <c r="H147" s="6">
        <f>MOD((Config!$B$2+$AP147*7919)*9301+49297,233280)/233280</f>
        <v/>
      </c>
      <c r="I147" s="6">
        <f>MOD((Config!$B$2+$AP147*104729)*4096+150889,714025)/714025</f>
        <v/>
      </c>
      <c r="J147" s="6">
        <f>MOD((Config!$B$2*31+$AP147*15485863)*1366+150889,714025)/714025</f>
        <v/>
      </c>
      <c r="K147" s="6" t="n">
        <v>-0.116813</v>
      </c>
      <c r="L147" s="6" t="n">
        <v>0.072964</v>
      </c>
      <c r="M147" s="6">
        <f>COUNTIF(Siblings!$A$2:$A$84,B147)</f>
        <v/>
      </c>
      <c r="N147" s="6">
        <f>1+INT(J147*M147)</f>
        <v/>
      </c>
      <c r="O147" s="6">
        <f>IF(K147&lt;&gt;"",K147,IFERROR(INDEX(Siblings!$D$2:$D$84,MATCH(B147&amp;"|"&amp;N147,Siblings!$F$2:$F$84,0)),0))</f>
        <v/>
      </c>
      <c r="P147" s="6">
        <f>IF(L147&lt;&gt;"",L147,IFERROR(INDEX(Siblings!$E$2:$E$84,MATCH(B147&amp;"|"&amp;N147,Siblings!$F$2:$F$84,0)),0))</f>
        <v/>
      </c>
      <c r="Q147" s="6">
        <f>(INDEX('Earth curves'!$B$2:$B$46,MAX(1,MIN(44,IFERROR(MATCH(F147,'Earth curves'!$A$2:$A$46,1),1))))+(F147-INDEX('Earth curves'!$A$2:$A$46,MAX(1,MIN(44,IFERROR(MATCH(F147,'Earth curves'!$A$2:$A$46,1),1)))))*(INDEX('Earth curves'!$B$2:$B$46,MAX(1,MIN(44,IFERROR(MATCH(F147,'Earth curves'!$A$2:$A$46,1),1)))+1)-INDEX('Earth curves'!$B$2:$B$46,MAX(1,MIN(44,IFERROR(MATCH(F147,'Earth curves'!$A$2:$A$46,1),1)))))/(INDEX('Earth curves'!$A$2:$A$46,MAX(1,MIN(44,IFERROR(MATCH(F147,'Earth curves'!$A$2:$A$46,1),1)))+1)-INDEX('Earth curves'!$A$2:$A$46,MAX(1,MIN(44,IFERROR(MATCH(F147,'Earth curves'!$A$2:$A$46,1),1))))))</f>
        <v/>
      </c>
      <c r="R147" s="6">
        <f>(INDEX('Earth curves'!$C$2:$C$46,MAX(1,MIN(44,IFERROR(MATCH(F147,'Earth curves'!$A$2:$A$46,1),1))))+(F147-INDEX('Earth curves'!$A$2:$A$46,MAX(1,MIN(44,IFERROR(MATCH(F147,'Earth curves'!$A$2:$A$46,1),1)))))*(INDEX('Earth curves'!$C$2:$C$46,MAX(1,MIN(44,IFERROR(MATCH(F147,'Earth curves'!$A$2:$A$46,1),1)))+1)-INDEX('Earth curves'!$C$2:$C$46,MAX(1,MIN(44,IFERROR(MATCH(F147,'Earth curves'!$A$2:$A$46,1),1)))))/(INDEX('Earth curves'!$A$2:$A$46,MAX(1,MIN(44,IFERROR(MATCH(F147,'Earth curves'!$A$2:$A$46,1),1)))+1)-INDEX('Earth curves'!$A$2:$A$46,MAX(1,MIN(44,IFERROR(MATCH(F147,'Earth curves'!$A$2:$A$46,1),1))))))</f>
        <v/>
      </c>
      <c r="S147" s="6">
        <f>MEDIAN(0.307692,Q147+MEDIAN(-0.350583,O147+NORMSINV(H147)*0.064828*Config!$B$3,0.120277),0.993846)</f>
        <v/>
      </c>
      <c r="T147" s="10">
        <f>ROUND(Config!$B$7+(Config!$B$8-Config!$B$7)*S147,1)</f>
        <v/>
      </c>
      <c r="U147" s="11" t="n"/>
      <c r="V147" s="10">
        <f>IF(U147="",T147,U147)</f>
        <v/>
      </c>
      <c r="W147" s="6">
        <f>MEDIAN(0.05,R147+MEDIAN(-0.302219,P147+NORMSINV(I147)*0.089531*Config!$B$3,0.274961),0.999)</f>
        <v/>
      </c>
      <c r="X147" s="6">
        <f>(INDEX('Earth curves'!$F$2:$F$46,MAX(1,MIN(44,IFERROR(MATCH(W147,'Earth curves'!$E$2:$E$46,1),1))))+(W147-INDEX('Earth curves'!$E$2:$E$46,MAX(1,MIN(44,IFERROR(MATCH(W147,'Earth curves'!$E$2:$E$46,1),1)))))*(INDEX('Earth curves'!$F$2:$F$46,MAX(1,MIN(44,IFERROR(MATCH(W147,'Earth curves'!$E$2:$E$46,1),1)))+1)-INDEX('Earth curves'!$F$2:$F$46,MAX(1,MIN(44,IFERROR(MATCH(W147,'Earth curves'!$E$2:$E$46,1),1)))))/(INDEX('Earth curves'!$E$2:$E$46,MAX(1,MIN(44,IFERROR(MATCH(W147,'Earth curves'!$E$2:$E$46,1),1)))+1)-INDEX('Earth curves'!$E$2:$E$46,MAX(1,MIN(44,IFERROR(MATCH(W147,'Earth curves'!$E$2:$E$46,1),1))))))</f>
        <v/>
      </c>
      <c r="Y147" s="6">
        <f>(INDEX('Earth curves'!$G$2:$G$46,MAX(1,MIN(44,IFERROR(MATCH(W147,'Earth curves'!$E$2:$E$46,1),1))))+(W147-INDEX('Earth curves'!$E$2:$E$46,MAX(1,MIN(44,IFERROR(MATCH(W147,'Earth curves'!$E$2:$E$46,1),1)))))*(INDEX('Earth curves'!$G$2:$G$46,MAX(1,MIN(44,IFERROR(MATCH(W147,'Earth curves'!$E$2:$E$46,1),1)))+1)-INDEX('Earth curves'!$G$2:$G$46,MAX(1,MIN(44,IFERROR(MATCH(W147,'Earth curves'!$E$2:$E$46,1),1)))))/(INDEX('Earth curves'!$E$2:$E$46,MAX(1,MIN(44,IFERROR(MATCH(W147,'Earth curves'!$E$2:$E$46,1),1)))+1)-INDEX('Earth curves'!$E$2:$E$46,MAX(1,MIN(44,IFERROR(MATCH(W147,'Earth curves'!$E$2:$E$46,1),1))))))</f>
        <v/>
      </c>
      <c r="Z147" s="6">
        <f>(MIN(X147/Config!$B$9,1)+MIN(Y147/Config!$B$10,1))/2</f>
        <v/>
      </c>
      <c r="AA147" s="10">
        <f>ROUND(MIN(22,MAX(3,X147*W147/Z147)),1)</f>
        <v/>
      </c>
      <c r="AB147" s="11" t="n"/>
      <c r="AC147" s="10">
        <f>IF(AB147="",AA147,AB147)</f>
        <v/>
      </c>
      <c r="AD147" s="10">
        <f>ROUND(MIN(Config!$B$10,MAX(1,Y147*W147/Z147)),1)</f>
        <v/>
      </c>
      <c r="AE147" s="11" t="n"/>
      <c r="AF147" s="10">
        <f>IF(AE147="",AD147,AE147)</f>
        <v/>
      </c>
      <c r="AG147" s="9">
        <f>(V147-Config!$B$7)/(Config!$B$8-Config!$B$7)</f>
        <v/>
      </c>
      <c r="AH147" s="9">
        <f>(MIN(AC147/Config!$B$9,1)+MIN(AF147/Config!$B$10,1))/2</f>
        <v/>
      </c>
      <c r="AI147" s="12">
        <f>ROUND((AG147*AH147*G147)^(1/3),3)</f>
        <v/>
      </c>
      <c r="AJ147" s="12" t="n">
        <v>0.61</v>
      </c>
      <c r="AK147" s="13">
        <f>AI147-AJ147</f>
        <v/>
      </c>
      <c r="AL147" s="13">
        <f>AK147-AVERAGE($AK$2:$AK$173)</f>
        <v/>
      </c>
      <c r="AM147" s="6">
        <f>IF(ABS(AL147)&gt;Config!$B$11,"REVIEW","")</f>
        <v/>
      </c>
      <c r="AN147" s="14">
        <f>RANK(AI147,$AI$2:$AI$173)</f>
        <v/>
      </c>
      <c r="AO147" s="14">
        <f>RANK(AJ147,$AJ$2:$AJ$173)</f>
        <v/>
      </c>
      <c r="AP147" s="14" t="n">
        <v>147</v>
      </c>
    </row>
    <row r="148">
      <c r="A148" s="6" t="inlineStr">
        <is>
          <t>Ukhdari</t>
        </is>
      </c>
      <c r="B148" s="6" t="inlineStr">
        <is>
          <t>Ayuma</t>
        </is>
      </c>
      <c r="C148" s="6" t="inlineStr">
        <is>
          <t>resource</t>
        </is>
      </c>
      <c r="D148" s="7" t="n">
        <v>89841</v>
      </c>
      <c r="E148" s="8">
        <f>D148*Config!$B$4</f>
        <v/>
      </c>
      <c r="F148" s="6">
        <f>LN(MAX(60,E148))</f>
        <v/>
      </c>
      <c r="G148" s="9">
        <f>MEDIAN(0,(F148-LN(Config!$B$5))/(LN(Config!$B$6)-LN(Config!$B$5)),1)</f>
        <v/>
      </c>
      <c r="H148" s="6">
        <f>MOD((Config!$B$2+$AP148*7919)*9301+49297,233280)/233280</f>
        <v/>
      </c>
      <c r="I148" s="6">
        <f>MOD((Config!$B$2+$AP148*104729)*4096+150889,714025)/714025</f>
        <v/>
      </c>
      <c r="J148" s="6">
        <f>MOD((Config!$B$2*31+$AP148*15485863)*1366+150889,714025)/714025</f>
        <v/>
      </c>
      <c r="K148" s="6" t="n">
        <v>-0.023486</v>
      </c>
      <c r="L148" s="6" t="n">
        <v>-0.129554</v>
      </c>
      <c r="M148" s="6">
        <f>COUNTIF(Siblings!$A$2:$A$84,B148)</f>
        <v/>
      </c>
      <c r="N148" s="6">
        <f>1+INT(J148*M148)</f>
        <v/>
      </c>
      <c r="O148" s="6">
        <f>IF(K148&lt;&gt;"",K148,IFERROR(INDEX(Siblings!$D$2:$D$84,MATCH(B148&amp;"|"&amp;N148,Siblings!$F$2:$F$84,0)),0))</f>
        <v/>
      </c>
      <c r="P148" s="6">
        <f>IF(L148&lt;&gt;"",L148,IFERROR(INDEX(Siblings!$E$2:$E$84,MATCH(B148&amp;"|"&amp;N148,Siblings!$F$2:$F$84,0)),0))</f>
        <v/>
      </c>
      <c r="Q148" s="6">
        <f>(INDEX('Earth curves'!$B$2:$B$46,MAX(1,MIN(44,IFERROR(MATCH(F148,'Earth curves'!$A$2:$A$46,1),1))))+(F148-INDEX('Earth curves'!$A$2:$A$46,MAX(1,MIN(44,IFERROR(MATCH(F148,'Earth curves'!$A$2:$A$46,1),1)))))*(INDEX('Earth curves'!$B$2:$B$46,MAX(1,MIN(44,IFERROR(MATCH(F148,'Earth curves'!$A$2:$A$46,1),1)))+1)-INDEX('Earth curves'!$B$2:$B$46,MAX(1,MIN(44,IFERROR(MATCH(F148,'Earth curves'!$A$2:$A$46,1),1)))))/(INDEX('Earth curves'!$A$2:$A$46,MAX(1,MIN(44,IFERROR(MATCH(F148,'Earth curves'!$A$2:$A$46,1),1)))+1)-INDEX('Earth curves'!$A$2:$A$46,MAX(1,MIN(44,IFERROR(MATCH(F148,'Earth curves'!$A$2:$A$46,1),1))))))</f>
        <v/>
      </c>
      <c r="R148" s="6">
        <f>(INDEX('Earth curves'!$C$2:$C$46,MAX(1,MIN(44,IFERROR(MATCH(F148,'Earth curves'!$A$2:$A$46,1),1))))+(F148-INDEX('Earth curves'!$A$2:$A$46,MAX(1,MIN(44,IFERROR(MATCH(F148,'Earth curves'!$A$2:$A$46,1),1)))))*(INDEX('Earth curves'!$C$2:$C$46,MAX(1,MIN(44,IFERROR(MATCH(F148,'Earth curves'!$A$2:$A$46,1),1)))+1)-INDEX('Earth curves'!$C$2:$C$46,MAX(1,MIN(44,IFERROR(MATCH(F148,'Earth curves'!$A$2:$A$46,1),1)))))/(INDEX('Earth curves'!$A$2:$A$46,MAX(1,MIN(44,IFERROR(MATCH(F148,'Earth curves'!$A$2:$A$46,1),1)))+1)-INDEX('Earth curves'!$A$2:$A$46,MAX(1,MIN(44,IFERROR(MATCH(F148,'Earth curves'!$A$2:$A$46,1),1))))))</f>
        <v/>
      </c>
      <c r="S148" s="6">
        <f>MEDIAN(0.307692,Q148+MEDIAN(-0.350583,O148+NORMSINV(H148)*0.064828*Config!$B$3,0.120277),0.993846)</f>
        <v/>
      </c>
      <c r="T148" s="10">
        <f>ROUND(Config!$B$7+(Config!$B$8-Config!$B$7)*S148,1)</f>
        <v/>
      </c>
      <c r="U148" s="11" t="n"/>
      <c r="V148" s="10">
        <f>IF(U148="",T148,U148)</f>
        <v/>
      </c>
      <c r="W148" s="6">
        <f>MEDIAN(0.05,R148+MEDIAN(-0.302219,P148+NORMSINV(I148)*0.089531*Config!$B$3,0.274961),0.999)</f>
        <v/>
      </c>
      <c r="X148" s="6">
        <f>(INDEX('Earth curves'!$F$2:$F$46,MAX(1,MIN(44,IFERROR(MATCH(W148,'Earth curves'!$E$2:$E$46,1),1))))+(W148-INDEX('Earth curves'!$E$2:$E$46,MAX(1,MIN(44,IFERROR(MATCH(W148,'Earth curves'!$E$2:$E$46,1),1)))))*(INDEX('Earth curves'!$F$2:$F$46,MAX(1,MIN(44,IFERROR(MATCH(W148,'Earth curves'!$E$2:$E$46,1),1)))+1)-INDEX('Earth curves'!$F$2:$F$46,MAX(1,MIN(44,IFERROR(MATCH(W148,'Earth curves'!$E$2:$E$46,1),1)))))/(INDEX('Earth curves'!$E$2:$E$46,MAX(1,MIN(44,IFERROR(MATCH(W148,'Earth curves'!$E$2:$E$46,1),1)))+1)-INDEX('Earth curves'!$E$2:$E$46,MAX(1,MIN(44,IFERROR(MATCH(W148,'Earth curves'!$E$2:$E$46,1),1))))))</f>
        <v/>
      </c>
      <c r="Y148" s="6">
        <f>(INDEX('Earth curves'!$G$2:$G$46,MAX(1,MIN(44,IFERROR(MATCH(W148,'Earth curves'!$E$2:$E$46,1),1))))+(W148-INDEX('Earth curves'!$E$2:$E$46,MAX(1,MIN(44,IFERROR(MATCH(W148,'Earth curves'!$E$2:$E$46,1),1)))))*(INDEX('Earth curves'!$G$2:$G$46,MAX(1,MIN(44,IFERROR(MATCH(W148,'Earth curves'!$E$2:$E$46,1),1)))+1)-INDEX('Earth curves'!$G$2:$G$46,MAX(1,MIN(44,IFERROR(MATCH(W148,'Earth curves'!$E$2:$E$46,1),1)))))/(INDEX('Earth curves'!$E$2:$E$46,MAX(1,MIN(44,IFERROR(MATCH(W148,'Earth curves'!$E$2:$E$46,1),1)))+1)-INDEX('Earth curves'!$E$2:$E$46,MAX(1,MIN(44,IFERROR(MATCH(W148,'Earth curves'!$E$2:$E$46,1),1))))))</f>
        <v/>
      </c>
      <c r="Z148" s="6">
        <f>(MIN(X148/Config!$B$9,1)+MIN(Y148/Config!$B$10,1))/2</f>
        <v/>
      </c>
      <c r="AA148" s="10">
        <f>ROUND(MIN(22,MAX(3,X148*W148/Z148)),1)</f>
        <v/>
      </c>
      <c r="AB148" s="11" t="n"/>
      <c r="AC148" s="10">
        <f>IF(AB148="",AA148,AB148)</f>
        <v/>
      </c>
      <c r="AD148" s="10">
        <f>ROUND(MIN(Config!$B$10,MAX(1,Y148*W148/Z148)),1)</f>
        <v/>
      </c>
      <c r="AE148" s="11" t="n"/>
      <c r="AF148" s="10">
        <f>IF(AE148="",AD148,AE148)</f>
        <v/>
      </c>
      <c r="AG148" s="9">
        <f>(V148-Config!$B$7)/(Config!$B$8-Config!$B$7)</f>
        <v/>
      </c>
      <c r="AH148" s="9">
        <f>(MIN(AC148/Config!$B$9,1)+MIN(AF148/Config!$B$10,1))/2</f>
        <v/>
      </c>
      <c r="AI148" s="12">
        <f>ROUND((AG148*AH148*G148)^(1/3),3)</f>
        <v/>
      </c>
      <c r="AJ148" s="12" t="n">
        <v>0.834</v>
      </c>
      <c r="AK148" s="13">
        <f>AI148-AJ148</f>
        <v/>
      </c>
      <c r="AL148" s="13">
        <f>AK148-AVERAGE($AK$2:$AK$173)</f>
        <v/>
      </c>
      <c r="AM148" s="6">
        <f>IF(ABS(AL148)&gt;Config!$B$11,"REVIEW","")</f>
        <v/>
      </c>
      <c r="AN148" s="14">
        <f>RANK(AI148,$AI$2:$AI$173)</f>
        <v/>
      </c>
      <c r="AO148" s="14">
        <f>RANK(AJ148,$AJ$2:$AJ$173)</f>
        <v/>
      </c>
      <c r="AP148" s="14" t="n">
        <v>148</v>
      </c>
    </row>
    <row r="149">
      <c r="A149" s="6" t="inlineStr">
        <is>
          <t>Umarcia</t>
        </is>
      </c>
      <c r="B149" s="6" t="inlineStr">
        <is>
          <t>New Ayre</t>
        </is>
      </c>
      <c r="C149" s="6" t="inlineStr">
        <is>
          <t>resource</t>
        </is>
      </c>
      <c r="D149" s="7" t="n">
        <v>48254</v>
      </c>
      <c r="E149" s="8">
        <f>D149*Config!$B$4</f>
        <v/>
      </c>
      <c r="F149" s="6">
        <f>LN(MAX(60,E149))</f>
        <v/>
      </c>
      <c r="G149" s="9">
        <f>MEDIAN(0,(F149-LN(Config!$B$5))/(LN(Config!$B$6)-LN(Config!$B$5)),1)</f>
        <v/>
      </c>
      <c r="H149" s="6">
        <f>MOD((Config!$B$2+$AP149*7919)*9301+49297,233280)/233280</f>
        <v/>
      </c>
      <c r="I149" s="6">
        <f>MOD((Config!$B$2+$AP149*104729)*4096+150889,714025)/714025</f>
        <v/>
      </c>
      <c r="J149" s="6">
        <f>MOD((Config!$B$2*31+$AP149*15485863)*1366+150889,714025)/714025</f>
        <v/>
      </c>
      <c r="K149" s="6" t="n">
        <v>0.07028</v>
      </c>
      <c r="L149" s="6" t="n">
        <v>0.021117</v>
      </c>
      <c r="M149" s="6">
        <f>COUNTIF(Siblings!$A$2:$A$84,B149)</f>
        <v/>
      </c>
      <c r="N149" s="6">
        <f>1+INT(J149*M149)</f>
        <v/>
      </c>
      <c r="O149" s="6">
        <f>IF(K149&lt;&gt;"",K149,IFERROR(INDEX(Siblings!$D$2:$D$84,MATCH(B149&amp;"|"&amp;N149,Siblings!$F$2:$F$84,0)),0))</f>
        <v/>
      </c>
      <c r="P149" s="6">
        <f>IF(L149&lt;&gt;"",L149,IFERROR(INDEX(Siblings!$E$2:$E$84,MATCH(B149&amp;"|"&amp;N149,Siblings!$F$2:$F$84,0)),0))</f>
        <v/>
      </c>
      <c r="Q149" s="6">
        <f>(INDEX('Earth curves'!$B$2:$B$46,MAX(1,MIN(44,IFERROR(MATCH(F149,'Earth curves'!$A$2:$A$46,1),1))))+(F149-INDEX('Earth curves'!$A$2:$A$46,MAX(1,MIN(44,IFERROR(MATCH(F149,'Earth curves'!$A$2:$A$46,1),1)))))*(INDEX('Earth curves'!$B$2:$B$46,MAX(1,MIN(44,IFERROR(MATCH(F149,'Earth curves'!$A$2:$A$46,1),1)))+1)-INDEX('Earth curves'!$B$2:$B$46,MAX(1,MIN(44,IFERROR(MATCH(F149,'Earth curves'!$A$2:$A$46,1),1)))))/(INDEX('Earth curves'!$A$2:$A$46,MAX(1,MIN(44,IFERROR(MATCH(F149,'Earth curves'!$A$2:$A$46,1),1)))+1)-INDEX('Earth curves'!$A$2:$A$46,MAX(1,MIN(44,IFERROR(MATCH(F149,'Earth curves'!$A$2:$A$46,1),1))))))</f>
        <v/>
      </c>
      <c r="R149" s="6">
        <f>(INDEX('Earth curves'!$C$2:$C$46,MAX(1,MIN(44,IFERROR(MATCH(F149,'Earth curves'!$A$2:$A$46,1),1))))+(F149-INDEX('Earth curves'!$A$2:$A$46,MAX(1,MIN(44,IFERROR(MATCH(F149,'Earth curves'!$A$2:$A$46,1),1)))))*(INDEX('Earth curves'!$C$2:$C$46,MAX(1,MIN(44,IFERROR(MATCH(F149,'Earth curves'!$A$2:$A$46,1),1)))+1)-INDEX('Earth curves'!$C$2:$C$46,MAX(1,MIN(44,IFERROR(MATCH(F149,'Earth curves'!$A$2:$A$46,1),1)))))/(INDEX('Earth curves'!$A$2:$A$46,MAX(1,MIN(44,IFERROR(MATCH(F149,'Earth curves'!$A$2:$A$46,1),1)))+1)-INDEX('Earth curves'!$A$2:$A$46,MAX(1,MIN(44,IFERROR(MATCH(F149,'Earth curves'!$A$2:$A$46,1),1))))))</f>
        <v/>
      </c>
      <c r="S149" s="6">
        <f>MEDIAN(0.307692,Q149+MEDIAN(-0.350583,O149+NORMSINV(H149)*0.064828*Config!$B$3,0.120277),0.993846)</f>
        <v/>
      </c>
      <c r="T149" s="10">
        <f>ROUND(Config!$B$7+(Config!$B$8-Config!$B$7)*S149,1)</f>
        <v/>
      </c>
      <c r="U149" s="11" t="n"/>
      <c r="V149" s="10">
        <f>IF(U149="",T149,U149)</f>
        <v/>
      </c>
      <c r="W149" s="6">
        <f>MEDIAN(0.05,R149+MEDIAN(-0.302219,P149+NORMSINV(I149)*0.089531*Config!$B$3,0.274961),0.999)</f>
        <v/>
      </c>
      <c r="X149" s="6">
        <f>(INDEX('Earth curves'!$F$2:$F$46,MAX(1,MIN(44,IFERROR(MATCH(W149,'Earth curves'!$E$2:$E$46,1),1))))+(W149-INDEX('Earth curves'!$E$2:$E$46,MAX(1,MIN(44,IFERROR(MATCH(W149,'Earth curves'!$E$2:$E$46,1),1)))))*(INDEX('Earth curves'!$F$2:$F$46,MAX(1,MIN(44,IFERROR(MATCH(W149,'Earth curves'!$E$2:$E$46,1),1)))+1)-INDEX('Earth curves'!$F$2:$F$46,MAX(1,MIN(44,IFERROR(MATCH(W149,'Earth curves'!$E$2:$E$46,1),1)))))/(INDEX('Earth curves'!$E$2:$E$46,MAX(1,MIN(44,IFERROR(MATCH(W149,'Earth curves'!$E$2:$E$46,1),1)))+1)-INDEX('Earth curves'!$E$2:$E$46,MAX(1,MIN(44,IFERROR(MATCH(W149,'Earth curves'!$E$2:$E$46,1),1))))))</f>
        <v/>
      </c>
      <c r="Y149" s="6">
        <f>(INDEX('Earth curves'!$G$2:$G$46,MAX(1,MIN(44,IFERROR(MATCH(W149,'Earth curves'!$E$2:$E$46,1),1))))+(W149-INDEX('Earth curves'!$E$2:$E$46,MAX(1,MIN(44,IFERROR(MATCH(W149,'Earth curves'!$E$2:$E$46,1),1)))))*(INDEX('Earth curves'!$G$2:$G$46,MAX(1,MIN(44,IFERROR(MATCH(W149,'Earth curves'!$E$2:$E$46,1),1)))+1)-INDEX('Earth curves'!$G$2:$G$46,MAX(1,MIN(44,IFERROR(MATCH(W149,'Earth curves'!$E$2:$E$46,1),1)))))/(INDEX('Earth curves'!$E$2:$E$46,MAX(1,MIN(44,IFERROR(MATCH(W149,'Earth curves'!$E$2:$E$46,1),1)))+1)-INDEX('Earth curves'!$E$2:$E$46,MAX(1,MIN(44,IFERROR(MATCH(W149,'Earth curves'!$E$2:$E$46,1),1))))))</f>
        <v/>
      </c>
      <c r="Z149" s="6">
        <f>(MIN(X149/Config!$B$9,1)+MIN(Y149/Config!$B$10,1))/2</f>
        <v/>
      </c>
      <c r="AA149" s="10">
        <f>ROUND(MIN(22,MAX(3,X149*W149/Z149)),1)</f>
        <v/>
      </c>
      <c r="AB149" s="11" t="n"/>
      <c r="AC149" s="10">
        <f>IF(AB149="",AA149,AB149)</f>
        <v/>
      </c>
      <c r="AD149" s="10">
        <f>ROUND(MIN(Config!$B$10,MAX(1,Y149*W149/Z149)),1)</f>
        <v/>
      </c>
      <c r="AE149" s="11" t="n"/>
      <c r="AF149" s="10">
        <f>IF(AE149="",AD149,AE149)</f>
        <v/>
      </c>
      <c r="AG149" s="9">
        <f>(V149-Config!$B$7)/(Config!$B$8-Config!$B$7)</f>
        <v/>
      </c>
      <c r="AH149" s="9">
        <f>(MIN(AC149/Config!$B$9,1)+MIN(AF149/Config!$B$10,1))/2</f>
        <v/>
      </c>
      <c r="AI149" s="12">
        <f>ROUND((AG149*AH149*G149)^(1/3),3)</f>
        <v/>
      </c>
      <c r="AJ149" s="12" t="n">
        <v>0.801</v>
      </c>
      <c r="AK149" s="13">
        <f>AI149-AJ149</f>
        <v/>
      </c>
      <c r="AL149" s="13">
        <f>AK149-AVERAGE($AK$2:$AK$173)</f>
        <v/>
      </c>
      <c r="AM149" s="6">
        <f>IF(ABS(AL149)&gt;Config!$B$11,"REVIEW","")</f>
        <v/>
      </c>
      <c r="AN149" s="14">
        <f>RANK(AI149,$AI$2:$AI$173)</f>
        <v/>
      </c>
      <c r="AO149" s="14">
        <f>RANK(AJ149,$AJ$2:$AJ$173)</f>
        <v/>
      </c>
      <c r="AP149" s="14" t="n">
        <v>149</v>
      </c>
    </row>
    <row r="150">
      <c r="A150" s="6" t="inlineStr">
        <is>
          <t>Umendel</t>
        </is>
      </c>
      <c r="B150" s="6" t="inlineStr">
        <is>
          <t>Acrola</t>
        </is>
      </c>
      <c r="C150" s="6" t="inlineStr">
        <is>
          <t>—</t>
        </is>
      </c>
      <c r="D150" s="7" t="n">
        <v>8476</v>
      </c>
      <c r="E150" s="8">
        <f>D150*Config!$B$4</f>
        <v/>
      </c>
      <c r="F150" s="6">
        <f>LN(MAX(60,E150))</f>
        <v/>
      </c>
      <c r="G150" s="9">
        <f>MEDIAN(0,(F150-LN(Config!$B$5))/(LN(Config!$B$6)-LN(Config!$B$5)),1)</f>
        <v/>
      </c>
      <c r="H150" s="6">
        <f>MOD((Config!$B$2+$AP150*7919)*9301+49297,233280)/233280</f>
        <v/>
      </c>
      <c r="I150" s="6">
        <f>MOD((Config!$B$2+$AP150*104729)*4096+150889,714025)/714025</f>
        <v/>
      </c>
      <c r="J150" s="6">
        <f>MOD((Config!$B$2*31+$AP150*15485863)*1366+150889,714025)/714025</f>
        <v/>
      </c>
      <c r="K150" s="6" t="n"/>
      <c r="L150" s="6" t="n"/>
      <c r="M150" s="6">
        <f>COUNTIF(Siblings!$A$2:$A$84,B150)</f>
        <v/>
      </c>
      <c r="N150" s="6">
        <f>1+INT(J150*M150)</f>
        <v/>
      </c>
      <c r="O150" s="6">
        <f>IF(K150&lt;&gt;"",K150,IFERROR(INDEX(Siblings!$D$2:$D$84,MATCH(B150&amp;"|"&amp;N150,Siblings!$F$2:$F$84,0)),0))</f>
        <v/>
      </c>
      <c r="P150" s="6">
        <f>IF(L150&lt;&gt;"",L150,IFERROR(INDEX(Siblings!$E$2:$E$84,MATCH(B150&amp;"|"&amp;N150,Siblings!$F$2:$F$84,0)),0))</f>
        <v/>
      </c>
      <c r="Q150" s="6">
        <f>(INDEX('Earth curves'!$B$2:$B$46,MAX(1,MIN(44,IFERROR(MATCH(F150,'Earth curves'!$A$2:$A$46,1),1))))+(F150-INDEX('Earth curves'!$A$2:$A$46,MAX(1,MIN(44,IFERROR(MATCH(F150,'Earth curves'!$A$2:$A$46,1),1)))))*(INDEX('Earth curves'!$B$2:$B$46,MAX(1,MIN(44,IFERROR(MATCH(F150,'Earth curves'!$A$2:$A$46,1),1)))+1)-INDEX('Earth curves'!$B$2:$B$46,MAX(1,MIN(44,IFERROR(MATCH(F150,'Earth curves'!$A$2:$A$46,1),1)))))/(INDEX('Earth curves'!$A$2:$A$46,MAX(1,MIN(44,IFERROR(MATCH(F150,'Earth curves'!$A$2:$A$46,1),1)))+1)-INDEX('Earth curves'!$A$2:$A$46,MAX(1,MIN(44,IFERROR(MATCH(F150,'Earth curves'!$A$2:$A$46,1),1))))))</f>
        <v/>
      </c>
      <c r="R150" s="6">
        <f>(INDEX('Earth curves'!$C$2:$C$46,MAX(1,MIN(44,IFERROR(MATCH(F150,'Earth curves'!$A$2:$A$46,1),1))))+(F150-INDEX('Earth curves'!$A$2:$A$46,MAX(1,MIN(44,IFERROR(MATCH(F150,'Earth curves'!$A$2:$A$46,1),1)))))*(INDEX('Earth curves'!$C$2:$C$46,MAX(1,MIN(44,IFERROR(MATCH(F150,'Earth curves'!$A$2:$A$46,1),1)))+1)-INDEX('Earth curves'!$C$2:$C$46,MAX(1,MIN(44,IFERROR(MATCH(F150,'Earth curves'!$A$2:$A$46,1),1)))))/(INDEX('Earth curves'!$A$2:$A$46,MAX(1,MIN(44,IFERROR(MATCH(F150,'Earth curves'!$A$2:$A$46,1),1)))+1)-INDEX('Earth curves'!$A$2:$A$46,MAX(1,MIN(44,IFERROR(MATCH(F150,'Earth curves'!$A$2:$A$46,1),1))))))</f>
        <v/>
      </c>
      <c r="S150" s="6">
        <f>MEDIAN(0.307692,Q150+MEDIAN(-0.350583,O150+NORMSINV(H150)*0.064828*Config!$B$3,0.120277),0.993846)</f>
        <v/>
      </c>
      <c r="T150" s="10">
        <f>ROUND(Config!$B$7+(Config!$B$8-Config!$B$7)*S150,1)</f>
        <v/>
      </c>
      <c r="U150" s="11" t="n"/>
      <c r="V150" s="10">
        <f>IF(U150="",T150,U150)</f>
        <v/>
      </c>
      <c r="W150" s="6">
        <f>MEDIAN(0.05,R150+MEDIAN(-0.302219,P150+NORMSINV(I150)*0.089531*Config!$B$3,0.274961),0.999)</f>
        <v/>
      </c>
      <c r="X150" s="6">
        <f>(INDEX('Earth curves'!$F$2:$F$46,MAX(1,MIN(44,IFERROR(MATCH(W150,'Earth curves'!$E$2:$E$46,1),1))))+(W150-INDEX('Earth curves'!$E$2:$E$46,MAX(1,MIN(44,IFERROR(MATCH(W150,'Earth curves'!$E$2:$E$46,1),1)))))*(INDEX('Earth curves'!$F$2:$F$46,MAX(1,MIN(44,IFERROR(MATCH(W150,'Earth curves'!$E$2:$E$46,1),1)))+1)-INDEX('Earth curves'!$F$2:$F$46,MAX(1,MIN(44,IFERROR(MATCH(W150,'Earth curves'!$E$2:$E$46,1),1)))))/(INDEX('Earth curves'!$E$2:$E$46,MAX(1,MIN(44,IFERROR(MATCH(W150,'Earth curves'!$E$2:$E$46,1),1)))+1)-INDEX('Earth curves'!$E$2:$E$46,MAX(1,MIN(44,IFERROR(MATCH(W150,'Earth curves'!$E$2:$E$46,1),1))))))</f>
        <v/>
      </c>
      <c r="Y150" s="6">
        <f>(INDEX('Earth curves'!$G$2:$G$46,MAX(1,MIN(44,IFERROR(MATCH(W150,'Earth curves'!$E$2:$E$46,1),1))))+(W150-INDEX('Earth curves'!$E$2:$E$46,MAX(1,MIN(44,IFERROR(MATCH(W150,'Earth curves'!$E$2:$E$46,1),1)))))*(INDEX('Earth curves'!$G$2:$G$46,MAX(1,MIN(44,IFERROR(MATCH(W150,'Earth curves'!$E$2:$E$46,1),1)))+1)-INDEX('Earth curves'!$G$2:$G$46,MAX(1,MIN(44,IFERROR(MATCH(W150,'Earth curves'!$E$2:$E$46,1),1)))))/(INDEX('Earth curves'!$E$2:$E$46,MAX(1,MIN(44,IFERROR(MATCH(W150,'Earth curves'!$E$2:$E$46,1),1)))+1)-INDEX('Earth curves'!$E$2:$E$46,MAX(1,MIN(44,IFERROR(MATCH(W150,'Earth curves'!$E$2:$E$46,1),1))))))</f>
        <v/>
      </c>
      <c r="Z150" s="6">
        <f>(MIN(X150/Config!$B$9,1)+MIN(Y150/Config!$B$10,1))/2</f>
        <v/>
      </c>
      <c r="AA150" s="10">
        <f>ROUND(MIN(22,MAX(3,X150*W150/Z150)),1)</f>
        <v/>
      </c>
      <c r="AB150" s="11" t="n"/>
      <c r="AC150" s="10">
        <f>IF(AB150="",AA150,AB150)</f>
        <v/>
      </c>
      <c r="AD150" s="10">
        <f>ROUND(MIN(Config!$B$10,MAX(1,Y150*W150/Z150)),1)</f>
        <v/>
      </c>
      <c r="AE150" s="11" t="n"/>
      <c r="AF150" s="10">
        <f>IF(AE150="",AD150,AE150)</f>
        <v/>
      </c>
      <c r="AG150" s="9">
        <f>(V150-Config!$B$7)/(Config!$B$8-Config!$B$7)</f>
        <v/>
      </c>
      <c r="AH150" s="9">
        <f>(MIN(AC150/Config!$B$9,1)+MIN(AF150/Config!$B$10,1))/2</f>
        <v/>
      </c>
      <c r="AI150" s="12">
        <f>ROUND((AG150*AH150*G150)^(1/3),3)</f>
        <v/>
      </c>
      <c r="AJ150" s="12" t="n">
        <v>0.456</v>
      </c>
      <c r="AK150" s="13">
        <f>AI150-AJ150</f>
        <v/>
      </c>
      <c r="AL150" s="13">
        <f>AK150-AVERAGE($AK$2:$AK$173)</f>
        <v/>
      </c>
      <c r="AM150" s="6">
        <f>IF(ABS(AL150)&gt;Config!$B$11,"REVIEW","")</f>
        <v/>
      </c>
      <c r="AN150" s="14">
        <f>RANK(AI150,$AI$2:$AI$173)</f>
        <v/>
      </c>
      <c r="AO150" s="14">
        <f>RANK(AJ150,$AJ$2:$AJ$173)</f>
        <v/>
      </c>
      <c r="AP150" s="14" t="n">
        <v>150</v>
      </c>
    </row>
    <row r="151">
      <c r="A151" s="6" t="inlineStr">
        <is>
          <t>United Delet</t>
        </is>
      </c>
      <c r="B151" s="6" t="inlineStr">
        <is>
          <t>New Ayre</t>
        </is>
      </c>
      <c r="C151" s="6" t="inlineStr">
        <is>
          <t>resource</t>
        </is>
      </c>
      <c r="D151" s="7" t="n">
        <v>81587</v>
      </c>
      <c r="E151" s="8">
        <f>D151*Config!$B$4</f>
        <v/>
      </c>
      <c r="F151" s="6">
        <f>LN(MAX(60,E151))</f>
        <v/>
      </c>
      <c r="G151" s="9">
        <f>MEDIAN(0,(F151-LN(Config!$B$5))/(LN(Config!$B$6)-LN(Config!$B$5)),1)</f>
        <v/>
      </c>
      <c r="H151" s="6">
        <f>MOD((Config!$B$2+$AP151*7919)*9301+49297,233280)/233280</f>
        <v/>
      </c>
      <c r="I151" s="6">
        <f>MOD((Config!$B$2+$AP151*104729)*4096+150889,714025)/714025</f>
        <v/>
      </c>
      <c r="J151" s="6">
        <f>MOD((Config!$B$2*31+$AP151*15485863)*1366+150889,714025)/714025</f>
        <v/>
      </c>
      <c r="K151" s="6" t="n"/>
      <c r="L151" s="6" t="n"/>
      <c r="M151" s="6">
        <f>COUNTIF(Siblings!$A$2:$A$84,B151)</f>
        <v/>
      </c>
      <c r="N151" s="6">
        <f>1+INT(J151*M151)</f>
        <v/>
      </c>
      <c r="O151" s="6">
        <f>IF(K151&lt;&gt;"",K151,IFERROR(INDEX(Siblings!$D$2:$D$84,MATCH(B151&amp;"|"&amp;N151,Siblings!$F$2:$F$84,0)),0))</f>
        <v/>
      </c>
      <c r="P151" s="6">
        <f>IF(L151&lt;&gt;"",L151,IFERROR(INDEX(Siblings!$E$2:$E$84,MATCH(B151&amp;"|"&amp;N151,Siblings!$F$2:$F$84,0)),0))</f>
        <v/>
      </c>
      <c r="Q151" s="6">
        <f>(INDEX('Earth curves'!$B$2:$B$46,MAX(1,MIN(44,IFERROR(MATCH(F151,'Earth curves'!$A$2:$A$46,1),1))))+(F151-INDEX('Earth curves'!$A$2:$A$46,MAX(1,MIN(44,IFERROR(MATCH(F151,'Earth curves'!$A$2:$A$46,1),1)))))*(INDEX('Earth curves'!$B$2:$B$46,MAX(1,MIN(44,IFERROR(MATCH(F151,'Earth curves'!$A$2:$A$46,1),1)))+1)-INDEX('Earth curves'!$B$2:$B$46,MAX(1,MIN(44,IFERROR(MATCH(F151,'Earth curves'!$A$2:$A$46,1),1)))))/(INDEX('Earth curves'!$A$2:$A$46,MAX(1,MIN(44,IFERROR(MATCH(F151,'Earth curves'!$A$2:$A$46,1),1)))+1)-INDEX('Earth curves'!$A$2:$A$46,MAX(1,MIN(44,IFERROR(MATCH(F151,'Earth curves'!$A$2:$A$46,1),1))))))</f>
        <v/>
      </c>
      <c r="R151" s="6">
        <f>(INDEX('Earth curves'!$C$2:$C$46,MAX(1,MIN(44,IFERROR(MATCH(F151,'Earth curves'!$A$2:$A$46,1),1))))+(F151-INDEX('Earth curves'!$A$2:$A$46,MAX(1,MIN(44,IFERROR(MATCH(F151,'Earth curves'!$A$2:$A$46,1),1)))))*(INDEX('Earth curves'!$C$2:$C$46,MAX(1,MIN(44,IFERROR(MATCH(F151,'Earth curves'!$A$2:$A$46,1),1)))+1)-INDEX('Earth curves'!$C$2:$C$46,MAX(1,MIN(44,IFERROR(MATCH(F151,'Earth curves'!$A$2:$A$46,1),1)))))/(INDEX('Earth curves'!$A$2:$A$46,MAX(1,MIN(44,IFERROR(MATCH(F151,'Earth curves'!$A$2:$A$46,1),1)))+1)-INDEX('Earth curves'!$A$2:$A$46,MAX(1,MIN(44,IFERROR(MATCH(F151,'Earth curves'!$A$2:$A$46,1),1))))))</f>
        <v/>
      </c>
      <c r="S151" s="6">
        <f>MEDIAN(0.307692,Q151+MEDIAN(-0.350583,O151+NORMSINV(H151)*0.064828*Config!$B$3,0.120277),0.993846)</f>
        <v/>
      </c>
      <c r="T151" s="10">
        <f>ROUND(Config!$B$7+(Config!$B$8-Config!$B$7)*S151,1)</f>
        <v/>
      </c>
      <c r="U151" s="11" t="n"/>
      <c r="V151" s="10">
        <f>IF(U151="",T151,U151)</f>
        <v/>
      </c>
      <c r="W151" s="6">
        <f>MEDIAN(0.05,R151+MEDIAN(-0.302219,P151+NORMSINV(I151)*0.089531*Config!$B$3,0.274961),0.999)</f>
        <v/>
      </c>
      <c r="X151" s="6">
        <f>(INDEX('Earth curves'!$F$2:$F$46,MAX(1,MIN(44,IFERROR(MATCH(W151,'Earth curves'!$E$2:$E$46,1),1))))+(W151-INDEX('Earth curves'!$E$2:$E$46,MAX(1,MIN(44,IFERROR(MATCH(W151,'Earth curves'!$E$2:$E$46,1),1)))))*(INDEX('Earth curves'!$F$2:$F$46,MAX(1,MIN(44,IFERROR(MATCH(W151,'Earth curves'!$E$2:$E$46,1),1)))+1)-INDEX('Earth curves'!$F$2:$F$46,MAX(1,MIN(44,IFERROR(MATCH(W151,'Earth curves'!$E$2:$E$46,1),1)))))/(INDEX('Earth curves'!$E$2:$E$46,MAX(1,MIN(44,IFERROR(MATCH(W151,'Earth curves'!$E$2:$E$46,1),1)))+1)-INDEX('Earth curves'!$E$2:$E$46,MAX(1,MIN(44,IFERROR(MATCH(W151,'Earth curves'!$E$2:$E$46,1),1))))))</f>
        <v/>
      </c>
      <c r="Y151" s="6">
        <f>(INDEX('Earth curves'!$G$2:$G$46,MAX(1,MIN(44,IFERROR(MATCH(W151,'Earth curves'!$E$2:$E$46,1),1))))+(W151-INDEX('Earth curves'!$E$2:$E$46,MAX(1,MIN(44,IFERROR(MATCH(W151,'Earth curves'!$E$2:$E$46,1),1)))))*(INDEX('Earth curves'!$G$2:$G$46,MAX(1,MIN(44,IFERROR(MATCH(W151,'Earth curves'!$E$2:$E$46,1),1)))+1)-INDEX('Earth curves'!$G$2:$G$46,MAX(1,MIN(44,IFERROR(MATCH(W151,'Earth curves'!$E$2:$E$46,1),1)))))/(INDEX('Earth curves'!$E$2:$E$46,MAX(1,MIN(44,IFERROR(MATCH(W151,'Earth curves'!$E$2:$E$46,1),1)))+1)-INDEX('Earth curves'!$E$2:$E$46,MAX(1,MIN(44,IFERROR(MATCH(W151,'Earth curves'!$E$2:$E$46,1),1))))))</f>
        <v/>
      </c>
      <c r="Z151" s="6">
        <f>(MIN(X151/Config!$B$9,1)+MIN(Y151/Config!$B$10,1))/2</f>
        <v/>
      </c>
      <c r="AA151" s="10">
        <f>ROUND(MIN(22,MAX(3,X151*W151/Z151)),1)</f>
        <v/>
      </c>
      <c r="AB151" s="11" t="n"/>
      <c r="AC151" s="10">
        <f>IF(AB151="",AA151,AB151)</f>
        <v/>
      </c>
      <c r="AD151" s="10">
        <f>ROUND(MIN(Config!$B$10,MAX(1,Y151*W151/Z151)),1)</f>
        <v/>
      </c>
      <c r="AE151" s="11" t="n"/>
      <c r="AF151" s="10">
        <f>IF(AE151="",AD151,AE151)</f>
        <v/>
      </c>
      <c r="AG151" s="9">
        <f>(V151-Config!$B$7)/(Config!$B$8-Config!$B$7)</f>
        <v/>
      </c>
      <c r="AH151" s="9">
        <f>(MIN(AC151/Config!$B$9,1)+MIN(AF151/Config!$B$10,1))/2</f>
        <v/>
      </c>
      <c r="AI151" s="12">
        <f>ROUND((AG151*AH151*G151)^(1/3),3)</f>
        <v/>
      </c>
      <c r="AJ151" s="12" t="n">
        <v>0.892</v>
      </c>
      <c r="AK151" s="13">
        <f>AI151-AJ151</f>
        <v/>
      </c>
      <c r="AL151" s="13">
        <f>AK151-AVERAGE($AK$2:$AK$173)</f>
        <v/>
      </c>
      <c r="AM151" s="6">
        <f>IF(ABS(AL151)&gt;Config!$B$11,"REVIEW","")</f>
        <v/>
      </c>
      <c r="AN151" s="14">
        <f>RANK(AI151,$AI$2:$AI$173)</f>
        <v/>
      </c>
      <c r="AO151" s="14">
        <f>RANK(AJ151,$AJ$2:$AJ$173)</f>
        <v/>
      </c>
      <c r="AP151" s="14" t="n">
        <v>151</v>
      </c>
    </row>
    <row r="152">
      <c r="A152" s="6" t="inlineStr">
        <is>
          <t>United Mihili</t>
        </is>
      </c>
      <c r="B152" s="6" t="inlineStr">
        <is>
          <t>Quia</t>
        </is>
      </c>
      <c r="C152" s="6" t="inlineStr">
        <is>
          <t>militarised, resource</t>
        </is>
      </c>
      <c r="D152" s="7" t="n">
        <v>13238</v>
      </c>
      <c r="E152" s="8">
        <f>D152*Config!$B$4</f>
        <v/>
      </c>
      <c r="F152" s="6">
        <f>LN(MAX(60,E152))</f>
        <v/>
      </c>
      <c r="G152" s="9">
        <f>MEDIAN(0,(F152-LN(Config!$B$5))/(LN(Config!$B$6)-LN(Config!$B$5)),1)</f>
        <v/>
      </c>
      <c r="H152" s="6">
        <f>MOD((Config!$B$2+$AP152*7919)*9301+49297,233280)/233280</f>
        <v/>
      </c>
      <c r="I152" s="6">
        <f>MOD((Config!$B$2+$AP152*104729)*4096+150889,714025)/714025</f>
        <v/>
      </c>
      <c r="J152" s="6">
        <f>MOD((Config!$B$2*31+$AP152*15485863)*1366+150889,714025)/714025</f>
        <v/>
      </c>
      <c r="K152" s="6" t="n">
        <v>0.010879</v>
      </c>
      <c r="L152" s="6" t="n">
        <v>0.105203</v>
      </c>
      <c r="M152" s="6">
        <f>COUNTIF(Siblings!$A$2:$A$84,B152)</f>
        <v/>
      </c>
      <c r="N152" s="6">
        <f>1+INT(J152*M152)</f>
        <v/>
      </c>
      <c r="O152" s="6">
        <f>IF(K152&lt;&gt;"",K152,IFERROR(INDEX(Siblings!$D$2:$D$84,MATCH(B152&amp;"|"&amp;N152,Siblings!$F$2:$F$84,0)),0))</f>
        <v/>
      </c>
      <c r="P152" s="6">
        <f>IF(L152&lt;&gt;"",L152,IFERROR(INDEX(Siblings!$E$2:$E$84,MATCH(B152&amp;"|"&amp;N152,Siblings!$F$2:$F$84,0)),0))</f>
        <v/>
      </c>
      <c r="Q152" s="6">
        <f>(INDEX('Earth curves'!$B$2:$B$46,MAX(1,MIN(44,IFERROR(MATCH(F152,'Earth curves'!$A$2:$A$46,1),1))))+(F152-INDEX('Earth curves'!$A$2:$A$46,MAX(1,MIN(44,IFERROR(MATCH(F152,'Earth curves'!$A$2:$A$46,1),1)))))*(INDEX('Earth curves'!$B$2:$B$46,MAX(1,MIN(44,IFERROR(MATCH(F152,'Earth curves'!$A$2:$A$46,1),1)))+1)-INDEX('Earth curves'!$B$2:$B$46,MAX(1,MIN(44,IFERROR(MATCH(F152,'Earth curves'!$A$2:$A$46,1),1)))))/(INDEX('Earth curves'!$A$2:$A$46,MAX(1,MIN(44,IFERROR(MATCH(F152,'Earth curves'!$A$2:$A$46,1),1)))+1)-INDEX('Earth curves'!$A$2:$A$46,MAX(1,MIN(44,IFERROR(MATCH(F152,'Earth curves'!$A$2:$A$46,1),1))))))</f>
        <v/>
      </c>
      <c r="R152" s="6">
        <f>(INDEX('Earth curves'!$C$2:$C$46,MAX(1,MIN(44,IFERROR(MATCH(F152,'Earth curves'!$A$2:$A$46,1),1))))+(F152-INDEX('Earth curves'!$A$2:$A$46,MAX(1,MIN(44,IFERROR(MATCH(F152,'Earth curves'!$A$2:$A$46,1),1)))))*(INDEX('Earth curves'!$C$2:$C$46,MAX(1,MIN(44,IFERROR(MATCH(F152,'Earth curves'!$A$2:$A$46,1),1)))+1)-INDEX('Earth curves'!$C$2:$C$46,MAX(1,MIN(44,IFERROR(MATCH(F152,'Earth curves'!$A$2:$A$46,1),1)))))/(INDEX('Earth curves'!$A$2:$A$46,MAX(1,MIN(44,IFERROR(MATCH(F152,'Earth curves'!$A$2:$A$46,1),1)))+1)-INDEX('Earth curves'!$A$2:$A$46,MAX(1,MIN(44,IFERROR(MATCH(F152,'Earth curves'!$A$2:$A$46,1),1))))))</f>
        <v/>
      </c>
      <c r="S152" s="6">
        <f>MEDIAN(0.307692,Q152+MEDIAN(-0.350583,O152+NORMSINV(H152)*0.064828*Config!$B$3,0.120277),0.993846)</f>
        <v/>
      </c>
      <c r="T152" s="10">
        <f>ROUND(Config!$B$7+(Config!$B$8-Config!$B$7)*S152,1)</f>
        <v/>
      </c>
      <c r="U152" s="11" t="n"/>
      <c r="V152" s="10">
        <f>IF(U152="",T152,U152)</f>
        <v/>
      </c>
      <c r="W152" s="6">
        <f>MEDIAN(0.05,R152+MEDIAN(-0.302219,P152+NORMSINV(I152)*0.089531*Config!$B$3,0.274961),0.999)</f>
        <v/>
      </c>
      <c r="X152" s="6">
        <f>(INDEX('Earth curves'!$F$2:$F$46,MAX(1,MIN(44,IFERROR(MATCH(W152,'Earth curves'!$E$2:$E$46,1),1))))+(W152-INDEX('Earth curves'!$E$2:$E$46,MAX(1,MIN(44,IFERROR(MATCH(W152,'Earth curves'!$E$2:$E$46,1),1)))))*(INDEX('Earth curves'!$F$2:$F$46,MAX(1,MIN(44,IFERROR(MATCH(W152,'Earth curves'!$E$2:$E$46,1),1)))+1)-INDEX('Earth curves'!$F$2:$F$46,MAX(1,MIN(44,IFERROR(MATCH(W152,'Earth curves'!$E$2:$E$46,1),1)))))/(INDEX('Earth curves'!$E$2:$E$46,MAX(1,MIN(44,IFERROR(MATCH(W152,'Earth curves'!$E$2:$E$46,1),1)))+1)-INDEX('Earth curves'!$E$2:$E$46,MAX(1,MIN(44,IFERROR(MATCH(W152,'Earth curves'!$E$2:$E$46,1),1))))))</f>
        <v/>
      </c>
      <c r="Y152" s="6">
        <f>(INDEX('Earth curves'!$G$2:$G$46,MAX(1,MIN(44,IFERROR(MATCH(W152,'Earth curves'!$E$2:$E$46,1),1))))+(W152-INDEX('Earth curves'!$E$2:$E$46,MAX(1,MIN(44,IFERROR(MATCH(W152,'Earth curves'!$E$2:$E$46,1),1)))))*(INDEX('Earth curves'!$G$2:$G$46,MAX(1,MIN(44,IFERROR(MATCH(W152,'Earth curves'!$E$2:$E$46,1),1)))+1)-INDEX('Earth curves'!$G$2:$G$46,MAX(1,MIN(44,IFERROR(MATCH(W152,'Earth curves'!$E$2:$E$46,1),1)))))/(INDEX('Earth curves'!$E$2:$E$46,MAX(1,MIN(44,IFERROR(MATCH(W152,'Earth curves'!$E$2:$E$46,1),1)))+1)-INDEX('Earth curves'!$E$2:$E$46,MAX(1,MIN(44,IFERROR(MATCH(W152,'Earth curves'!$E$2:$E$46,1),1))))))</f>
        <v/>
      </c>
      <c r="Z152" s="6">
        <f>(MIN(X152/Config!$B$9,1)+MIN(Y152/Config!$B$10,1))/2</f>
        <v/>
      </c>
      <c r="AA152" s="10">
        <f>ROUND(MIN(22,MAX(3,X152*W152/Z152)),1)</f>
        <v/>
      </c>
      <c r="AB152" s="11" t="n"/>
      <c r="AC152" s="10">
        <f>IF(AB152="",AA152,AB152)</f>
        <v/>
      </c>
      <c r="AD152" s="10">
        <f>ROUND(MIN(Config!$B$10,MAX(1,Y152*W152/Z152)),1)</f>
        <v/>
      </c>
      <c r="AE152" s="11" t="n"/>
      <c r="AF152" s="10">
        <f>IF(AE152="",AD152,AE152)</f>
        <v/>
      </c>
      <c r="AG152" s="9">
        <f>(V152-Config!$B$7)/(Config!$B$8-Config!$B$7)</f>
        <v/>
      </c>
      <c r="AH152" s="9">
        <f>(MIN(AC152/Config!$B$9,1)+MIN(AF152/Config!$B$10,1))/2</f>
        <v/>
      </c>
      <c r="AI152" s="12">
        <f>ROUND((AG152*AH152*G152)^(1/3),3)</f>
        <v/>
      </c>
      <c r="AJ152" s="12" t="n">
        <v>0.646</v>
      </c>
      <c r="AK152" s="13">
        <f>AI152-AJ152</f>
        <v/>
      </c>
      <c r="AL152" s="13">
        <f>AK152-AVERAGE($AK$2:$AK$173)</f>
        <v/>
      </c>
      <c r="AM152" s="6">
        <f>IF(ABS(AL152)&gt;Config!$B$11,"REVIEW","")</f>
        <v/>
      </c>
      <c r="AN152" s="14">
        <f>RANK(AI152,$AI$2:$AI$173)</f>
        <v/>
      </c>
      <c r="AO152" s="14">
        <f>RANK(AJ152,$AJ$2:$AJ$173)</f>
        <v/>
      </c>
      <c r="AP152" s="14" t="n">
        <v>152</v>
      </c>
    </row>
    <row r="153">
      <c r="A153" s="6" t="inlineStr">
        <is>
          <t>Urbiqu</t>
        </is>
      </c>
      <c r="B153" s="6" t="inlineStr">
        <is>
          <t>Ayuma</t>
        </is>
      </c>
      <c r="C153" s="6" t="inlineStr">
        <is>
          <t>resource</t>
        </is>
      </c>
      <c r="D153" s="7" t="n">
        <v>14286</v>
      </c>
      <c r="E153" s="8">
        <f>D153*Config!$B$4</f>
        <v/>
      </c>
      <c r="F153" s="6">
        <f>LN(MAX(60,E153))</f>
        <v/>
      </c>
      <c r="G153" s="9">
        <f>MEDIAN(0,(F153-LN(Config!$B$5))/(LN(Config!$B$6)-LN(Config!$B$5)),1)</f>
        <v/>
      </c>
      <c r="H153" s="6">
        <f>MOD((Config!$B$2+$AP153*7919)*9301+49297,233280)/233280</f>
        <v/>
      </c>
      <c r="I153" s="6">
        <f>MOD((Config!$B$2+$AP153*104729)*4096+150889,714025)/714025</f>
        <v/>
      </c>
      <c r="J153" s="6">
        <f>MOD((Config!$B$2*31+$AP153*15485863)*1366+150889,714025)/714025</f>
        <v/>
      </c>
      <c r="K153" s="6" t="n"/>
      <c r="L153" s="6" t="n"/>
      <c r="M153" s="6">
        <f>COUNTIF(Siblings!$A$2:$A$84,B153)</f>
        <v/>
      </c>
      <c r="N153" s="6">
        <f>1+INT(J153*M153)</f>
        <v/>
      </c>
      <c r="O153" s="6">
        <f>IF(K153&lt;&gt;"",K153,IFERROR(INDEX(Siblings!$D$2:$D$84,MATCH(B153&amp;"|"&amp;N153,Siblings!$F$2:$F$84,0)),0))</f>
        <v/>
      </c>
      <c r="P153" s="6">
        <f>IF(L153&lt;&gt;"",L153,IFERROR(INDEX(Siblings!$E$2:$E$84,MATCH(B153&amp;"|"&amp;N153,Siblings!$F$2:$F$84,0)),0))</f>
        <v/>
      </c>
      <c r="Q153" s="6">
        <f>(INDEX('Earth curves'!$B$2:$B$46,MAX(1,MIN(44,IFERROR(MATCH(F153,'Earth curves'!$A$2:$A$46,1),1))))+(F153-INDEX('Earth curves'!$A$2:$A$46,MAX(1,MIN(44,IFERROR(MATCH(F153,'Earth curves'!$A$2:$A$46,1),1)))))*(INDEX('Earth curves'!$B$2:$B$46,MAX(1,MIN(44,IFERROR(MATCH(F153,'Earth curves'!$A$2:$A$46,1),1)))+1)-INDEX('Earth curves'!$B$2:$B$46,MAX(1,MIN(44,IFERROR(MATCH(F153,'Earth curves'!$A$2:$A$46,1),1)))))/(INDEX('Earth curves'!$A$2:$A$46,MAX(1,MIN(44,IFERROR(MATCH(F153,'Earth curves'!$A$2:$A$46,1),1)))+1)-INDEX('Earth curves'!$A$2:$A$46,MAX(1,MIN(44,IFERROR(MATCH(F153,'Earth curves'!$A$2:$A$46,1),1))))))</f>
        <v/>
      </c>
      <c r="R153" s="6">
        <f>(INDEX('Earth curves'!$C$2:$C$46,MAX(1,MIN(44,IFERROR(MATCH(F153,'Earth curves'!$A$2:$A$46,1),1))))+(F153-INDEX('Earth curves'!$A$2:$A$46,MAX(1,MIN(44,IFERROR(MATCH(F153,'Earth curves'!$A$2:$A$46,1),1)))))*(INDEX('Earth curves'!$C$2:$C$46,MAX(1,MIN(44,IFERROR(MATCH(F153,'Earth curves'!$A$2:$A$46,1),1)))+1)-INDEX('Earth curves'!$C$2:$C$46,MAX(1,MIN(44,IFERROR(MATCH(F153,'Earth curves'!$A$2:$A$46,1),1)))))/(INDEX('Earth curves'!$A$2:$A$46,MAX(1,MIN(44,IFERROR(MATCH(F153,'Earth curves'!$A$2:$A$46,1),1)))+1)-INDEX('Earth curves'!$A$2:$A$46,MAX(1,MIN(44,IFERROR(MATCH(F153,'Earth curves'!$A$2:$A$46,1),1))))))</f>
        <v/>
      </c>
      <c r="S153" s="6">
        <f>MEDIAN(0.307692,Q153+MEDIAN(-0.350583,O153+NORMSINV(H153)*0.064828*Config!$B$3,0.120277),0.993846)</f>
        <v/>
      </c>
      <c r="T153" s="10">
        <f>ROUND(Config!$B$7+(Config!$B$8-Config!$B$7)*S153,1)</f>
        <v/>
      </c>
      <c r="U153" s="11" t="n"/>
      <c r="V153" s="10">
        <f>IF(U153="",T153,U153)</f>
        <v/>
      </c>
      <c r="W153" s="6">
        <f>MEDIAN(0.05,R153+MEDIAN(-0.302219,P153+NORMSINV(I153)*0.089531*Config!$B$3,0.274961),0.999)</f>
        <v/>
      </c>
      <c r="X153" s="6">
        <f>(INDEX('Earth curves'!$F$2:$F$46,MAX(1,MIN(44,IFERROR(MATCH(W153,'Earth curves'!$E$2:$E$46,1),1))))+(W153-INDEX('Earth curves'!$E$2:$E$46,MAX(1,MIN(44,IFERROR(MATCH(W153,'Earth curves'!$E$2:$E$46,1),1)))))*(INDEX('Earth curves'!$F$2:$F$46,MAX(1,MIN(44,IFERROR(MATCH(W153,'Earth curves'!$E$2:$E$46,1),1)))+1)-INDEX('Earth curves'!$F$2:$F$46,MAX(1,MIN(44,IFERROR(MATCH(W153,'Earth curves'!$E$2:$E$46,1),1)))))/(INDEX('Earth curves'!$E$2:$E$46,MAX(1,MIN(44,IFERROR(MATCH(W153,'Earth curves'!$E$2:$E$46,1),1)))+1)-INDEX('Earth curves'!$E$2:$E$46,MAX(1,MIN(44,IFERROR(MATCH(W153,'Earth curves'!$E$2:$E$46,1),1))))))</f>
        <v/>
      </c>
      <c r="Y153" s="6">
        <f>(INDEX('Earth curves'!$G$2:$G$46,MAX(1,MIN(44,IFERROR(MATCH(W153,'Earth curves'!$E$2:$E$46,1),1))))+(W153-INDEX('Earth curves'!$E$2:$E$46,MAX(1,MIN(44,IFERROR(MATCH(W153,'Earth curves'!$E$2:$E$46,1),1)))))*(INDEX('Earth curves'!$G$2:$G$46,MAX(1,MIN(44,IFERROR(MATCH(W153,'Earth curves'!$E$2:$E$46,1),1)))+1)-INDEX('Earth curves'!$G$2:$G$46,MAX(1,MIN(44,IFERROR(MATCH(W153,'Earth curves'!$E$2:$E$46,1),1)))))/(INDEX('Earth curves'!$E$2:$E$46,MAX(1,MIN(44,IFERROR(MATCH(W153,'Earth curves'!$E$2:$E$46,1),1)))+1)-INDEX('Earth curves'!$E$2:$E$46,MAX(1,MIN(44,IFERROR(MATCH(W153,'Earth curves'!$E$2:$E$46,1),1))))))</f>
        <v/>
      </c>
      <c r="Z153" s="6">
        <f>(MIN(X153/Config!$B$9,1)+MIN(Y153/Config!$B$10,1))/2</f>
        <v/>
      </c>
      <c r="AA153" s="10">
        <f>ROUND(MIN(22,MAX(3,X153*W153/Z153)),1)</f>
        <v/>
      </c>
      <c r="AB153" s="11" t="n"/>
      <c r="AC153" s="10">
        <f>IF(AB153="",AA153,AB153)</f>
        <v/>
      </c>
      <c r="AD153" s="10">
        <f>ROUND(MIN(Config!$B$10,MAX(1,Y153*W153/Z153)),1)</f>
        <v/>
      </c>
      <c r="AE153" s="11" t="n"/>
      <c r="AF153" s="10">
        <f>IF(AE153="",AD153,AE153)</f>
        <v/>
      </c>
      <c r="AG153" s="9">
        <f>(V153-Config!$B$7)/(Config!$B$8-Config!$B$7)</f>
        <v/>
      </c>
      <c r="AH153" s="9">
        <f>(MIN(AC153/Config!$B$9,1)+MIN(AF153/Config!$B$10,1))/2</f>
        <v/>
      </c>
      <c r="AI153" s="12">
        <f>ROUND((AG153*AH153*G153)^(1/3),3)</f>
        <v/>
      </c>
      <c r="AJ153" s="12" t="n">
        <v>0.695</v>
      </c>
      <c r="AK153" s="13">
        <f>AI153-AJ153</f>
        <v/>
      </c>
      <c r="AL153" s="13">
        <f>AK153-AVERAGE($AK$2:$AK$173)</f>
        <v/>
      </c>
      <c r="AM153" s="6">
        <f>IF(ABS(AL153)&gt;Config!$B$11,"REVIEW","")</f>
        <v/>
      </c>
      <c r="AN153" s="14">
        <f>RANK(AI153,$AI$2:$AI$173)</f>
        <v/>
      </c>
      <c r="AO153" s="14">
        <f>RANK(AJ153,$AJ$2:$AJ$173)</f>
        <v/>
      </c>
      <c r="AP153" s="14" t="n">
        <v>153</v>
      </c>
    </row>
    <row r="154">
      <c r="A154" s="6" t="inlineStr">
        <is>
          <t>Uularin</t>
        </is>
      </c>
      <c r="B154" s="6" t="inlineStr">
        <is>
          <t>Ayuma</t>
        </is>
      </c>
      <c r="C154" s="6" t="inlineStr">
        <is>
          <t>resource</t>
        </is>
      </c>
      <c r="D154" s="7" t="n">
        <v>58413</v>
      </c>
      <c r="E154" s="8">
        <f>D154*Config!$B$4</f>
        <v/>
      </c>
      <c r="F154" s="6">
        <f>LN(MAX(60,E154))</f>
        <v/>
      </c>
      <c r="G154" s="9">
        <f>MEDIAN(0,(F154-LN(Config!$B$5))/(LN(Config!$B$6)-LN(Config!$B$5)),1)</f>
        <v/>
      </c>
      <c r="H154" s="6">
        <f>MOD((Config!$B$2+$AP154*7919)*9301+49297,233280)/233280</f>
        <v/>
      </c>
      <c r="I154" s="6">
        <f>MOD((Config!$B$2+$AP154*104729)*4096+150889,714025)/714025</f>
        <v/>
      </c>
      <c r="J154" s="6">
        <f>MOD((Config!$B$2*31+$AP154*15485863)*1366+150889,714025)/714025</f>
        <v/>
      </c>
      <c r="K154" s="6" t="n">
        <v>-0.054478</v>
      </c>
      <c r="L154" s="6" t="n">
        <v>0.06975000000000001</v>
      </c>
      <c r="M154" s="6">
        <f>COUNTIF(Siblings!$A$2:$A$84,B154)</f>
        <v/>
      </c>
      <c r="N154" s="6">
        <f>1+INT(J154*M154)</f>
        <v/>
      </c>
      <c r="O154" s="6">
        <f>IF(K154&lt;&gt;"",K154,IFERROR(INDEX(Siblings!$D$2:$D$84,MATCH(B154&amp;"|"&amp;N154,Siblings!$F$2:$F$84,0)),0))</f>
        <v/>
      </c>
      <c r="P154" s="6">
        <f>IF(L154&lt;&gt;"",L154,IFERROR(INDEX(Siblings!$E$2:$E$84,MATCH(B154&amp;"|"&amp;N154,Siblings!$F$2:$F$84,0)),0))</f>
        <v/>
      </c>
      <c r="Q154" s="6">
        <f>(INDEX('Earth curves'!$B$2:$B$46,MAX(1,MIN(44,IFERROR(MATCH(F154,'Earth curves'!$A$2:$A$46,1),1))))+(F154-INDEX('Earth curves'!$A$2:$A$46,MAX(1,MIN(44,IFERROR(MATCH(F154,'Earth curves'!$A$2:$A$46,1),1)))))*(INDEX('Earth curves'!$B$2:$B$46,MAX(1,MIN(44,IFERROR(MATCH(F154,'Earth curves'!$A$2:$A$46,1),1)))+1)-INDEX('Earth curves'!$B$2:$B$46,MAX(1,MIN(44,IFERROR(MATCH(F154,'Earth curves'!$A$2:$A$46,1),1)))))/(INDEX('Earth curves'!$A$2:$A$46,MAX(1,MIN(44,IFERROR(MATCH(F154,'Earth curves'!$A$2:$A$46,1),1)))+1)-INDEX('Earth curves'!$A$2:$A$46,MAX(1,MIN(44,IFERROR(MATCH(F154,'Earth curves'!$A$2:$A$46,1),1))))))</f>
        <v/>
      </c>
      <c r="R154" s="6">
        <f>(INDEX('Earth curves'!$C$2:$C$46,MAX(1,MIN(44,IFERROR(MATCH(F154,'Earth curves'!$A$2:$A$46,1),1))))+(F154-INDEX('Earth curves'!$A$2:$A$46,MAX(1,MIN(44,IFERROR(MATCH(F154,'Earth curves'!$A$2:$A$46,1),1)))))*(INDEX('Earth curves'!$C$2:$C$46,MAX(1,MIN(44,IFERROR(MATCH(F154,'Earth curves'!$A$2:$A$46,1),1)))+1)-INDEX('Earth curves'!$C$2:$C$46,MAX(1,MIN(44,IFERROR(MATCH(F154,'Earth curves'!$A$2:$A$46,1),1)))))/(INDEX('Earth curves'!$A$2:$A$46,MAX(1,MIN(44,IFERROR(MATCH(F154,'Earth curves'!$A$2:$A$46,1),1)))+1)-INDEX('Earth curves'!$A$2:$A$46,MAX(1,MIN(44,IFERROR(MATCH(F154,'Earth curves'!$A$2:$A$46,1),1))))))</f>
        <v/>
      </c>
      <c r="S154" s="6">
        <f>MEDIAN(0.307692,Q154+MEDIAN(-0.350583,O154+NORMSINV(H154)*0.064828*Config!$B$3,0.120277),0.993846)</f>
        <v/>
      </c>
      <c r="T154" s="10">
        <f>ROUND(Config!$B$7+(Config!$B$8-Config!$B$7)*S154,1)</f>
        <v/>
      </c>
      <c r="U154" s="11" t="n"/>
      <c r="V154" s="10">
        <f>IF(U154="",T154,U154)</f>
        <v/>
      </c>
      <c r="W154" s="6">
        <f>MEDIAN(0.05,R154+MEDIAN(-0.302219,P154+NORMSINV(I154)*0.089531*Config!$B$3,0.274961),0.999)</f>
        <v/>
      </c>
      <c r="X154" s="6">
        <f>(INDEX('Earth curves'!$F$2:$F$46,MAX(1,MIN(44,IFERROR(MATCH(W154,'Earth curves'!$E$2:$E$46,1),1))))+(W154-INDEX('Earth curves'!$E$2:$E$46,MAX(1,MIN(44,IFERROR(MATCH(W154,'Earth curves'!$E$2:$E$46,1),1)))))*(INDEX('Earth curves'!$F$2:$F$46,MAX(1,MIN(44,IFERROR(MATCH(W154,'Earth curves'!$E$2:$E$46,1),1)))+1)-INDEX('Earth curves'!$F$2:$F$46,MAX(1,MIN(44,IFERROR(MATCH(W154,'Earth curves'!$E$2:$E$46,1),1)))))/(INDEX('Earth curves'!$E$2:$E$46,MAX(1,MIN(44,IFERROR(MATCH(W154,'Earth curves'!$E$2:$E$46,1),1)))+1)-INDEX('Earth curves'!$E$2:$E$46,MAX(1,MIN(44,IFERROR(MATCH(W154,'Earth curves'!$E$2:$E$46,1),1))))))</f>
        <v/>
      </c>
      <c r="Y154" s="6">
        <f>(INDEX('Earth curves'!$G$2:$G$46,MAX(1,MIN(44,IFERROR(MATCH(W154,'Earth curves'!$E$2:$E$46,1),1))))+(W154-INDEX('Earth curves'!$E$2:$E$46,MAX(1,MIN(44,IFERROR(MATCH(W154,'Earth curves'!$E$2:$E$46,1),1)))))*(INDEX('Earth curves'!$G$2:$G$46,MAX(1,MIN(44,IFERROR(MATCH(W154,'Earth curves'!$E$2:$E$46,1),1)))+1)-INDEX('Earth curves'!$G$2:$G$46,MAX(1,MIN(44,IFERROR(MATCH(W154,'Earth curves'!$E$2:$E$46,1),1)))))/(INDEX('Earth curves'!$E$2:$E$46,MAX(1,MIN(44,IFERROR(MATCH(W154,'Earth curves'!$E$2:$E$46,1),1)))+1)-INDEX('Earth curves'!$E$2:$E$46,MAX(1,MIN(44,IFERROR(MATCH(W154,'Earth curves'!$E$2:$E$46,1),1))))))</f>
        <v/>
      </c>
      <c r="Z154" s="6">
        <f>(MIN(X154/Config!$B$9,1)+MIN(Y154/Config!$B$10,1))/2</f>
        <v/>
      </c>
      <c r="AA154" s="10">
        <f>ROUND(MIN(22,MAX(3,X154*W154/Z154)),1)</f>
        <v/>
      </c>
      <c r="AB154" s="11" t="n"/>
      <c r="AC154" s="10">
        <f>IF(AB154="",AA154,AB154)</f>
        <v/>
      </c>
      <c r="AD154" s="10">
        <f>ROUND(MIN(Config!$B$10,MAX(1,Y154*W154/Z154)),1)</f>
        <v/>
      </c>
      <c r="AE154" s="11" t="n"/>
      <c r="AF154" s="10">
        <f>IF(AE154="",AD154,AE154)</f>
        <v/>
      </c>
      <c r="AG154" s="9">
        <f>(V154-Config!$B$7)/(Config!$B$8-Config!$B$7)</f>
        <v/>
      </c>
      <c r="AH154" s="9">
        <f>(MIN(AC154/Config!$B$9,1)+MIN(AF154/Config!$B$10,1))/2</f>
        <v/>
      </c>
      <c r="AI154" s="12">
        <f>ROUND((AG154*AH154*G154)^(1/3),3)</f>
        <v/>
      </c>
      <c r="AJ154" s="12" t="n">
        <v>0.773</v>
      </c>
      <c r="AK154" s="13">
        <f>AI154-AJ154</f>
        <v/>
      </c>
      <c r="AL154" s="13">
        <f>AK154-AVERAGE($AK$2:$AK$173)</f>
        <v/>
      </c>
      <c r="AM154" s="6">
        <f>IF(ABS(AL154)&gt;Config!$B$11,"REVIEW","")</f>
        <v/>
      </c>
      <c r="AN154" s="14">
        <f>RANK(AI154,$AI$2:$AI$173)</f>
        <v/>
      </c>
      <c r="AO154" s="14">
        <f>RANK(AJ154,$AJ$2:$AJ$173)</f>
        <v/>
      </c>
      <c r="AP154" s="14" t="n">
        <v>154</v>
      </c>
    </row>
    <row r="155">
      <c r="A155" s="6" t="inlineStr">
        <is>
          <t>Vayvele</t>
        </is>
      </c>
      <c r="B155" s="6" t="inlineStr">
        <is>
          <t>Mahea</t>
        </is>
      </c>
      <c r="C155" s="6" t="inlineStr">
        <is>
          <t>petro, resource, tradehub</t>
        </is>
      </c>
      <c r="D155" s="7" t="n">
        <v>70159</v>
      </c>
      <c r="E155" s="8">
        <f>D155*Config!$B$4</f>
        <v/>
      </c>
      <c r="F155" s="6">
        <f>LN(MAX(60,E155))</f>
        <v/>
      </c>
      <c r="G155" s="9">
        <f>MEDIAN(0,(F155-LN(Config!$B$5))/(LN(Config!$B$6)-LN(Config!$B$5)),1)</f>
        <v/>
      </c>
      <c r="H155" s="6">
        <f>MOD((Config!$B$2+$AP155*7919)*9301+49297,233280)/233280</f>
        <v/>
      </c>
      <c r="I155" s="6">
        <f>MOD((Config!$B$2+$AP155*104729)*4096+150889,714025)/714025</f>
        <v/>
      </c>
      <c r="J155" s="6">
        <f>MOD((Config!$B$2*31+$AP155*15485863)*1366+150889,714025)/714025</f>
        <v/>
      </c>
      <c r="K155" s="6" t="n"/>
      <c r="L155" s="6" t="n"/>
      <c r="M155" s="6">
        <f>COUNTIF(Siblings!$A$2:$A$84,B155)</f>
        <v/>
      </c>
      <c r="N155" s="6">
        <f>1+INT(J155*M155)</f>
        <v/>
      </c>
      <c r="O155" s="6">
        <f>IF(K155&lt;&gt;"",K155,IFERROR(INDEX(Siblings!$D$2:$D$84,MATCH(B155&amp;"|"&amp;N155,Siblings!$F$2:$F$84,0)),0))</f>
        <v/>
      </c>
      <c r="P155" s="6">
        <f>IF(L155&lt;&gt;"",L155,IFERROR(INDEX(Siblings!$E$2:$E$84,MATCH(B155&amp;"|"&amp;N155,Siblings!$F$2:$F$84,0)),0))</f>
        <v/>
      </c>
      <c r="Q155" s="6">
        <f>(INDEX('Earth curves'!$B$2:$B$46,MAX(1,MIN(44,IFERROR(MATCH(F155,'Earth curves'!$A$2:$A$46,1),1))))+(F155-INDEX('Earth curves'!$A$2:$A$46,MAX(1,MIN(44,IFERROR(MATCH(F155,'Earth curves'!$A$2:$A$46,1),1)))))*(INDEX('Earth curves'!$B$2:$B$46,MAX(1,MIN(44,IFERROR(MATCH(F155,'Earth curves'!$A$2:$A$46,1),1)))+1)-INDEX('Earth curves'!$B$2:$B$46,MAX(1,MIN(44,IFERROR(MATCH(F155,'Earth curves'!$A$2:$A$46,1),1)))))/(INDEX('Earth curves'!$A$2:$A$46,MAX(1,MIN(44,IFERROR(MATCH(F155,'Earth curves'!$A$2:$A$46,1),1)))+1)-INDEX('Earth curves'!$A$2:$A$46,MAX(1,MIN(44,IFERROR(MATCH(F155,'Earth curves'!$A$2:$A$46,1),1))))))</f>
        <v/>
      </c>
      <c r="R155" s="6">
        <f>(INDEX('Earth curves'!$C$2:$C$46,MAX(1,MIN(44,IFERROR(MATCH(F155,'Earth curves'!$A$2:$A$46,1),1))))+(F155-INDEX('Earth curves'!$A$2:$A$46,MAX(1,MIN(44,IFERROR(MATCH(F155,'Earth curves'!$A$2:$A$46,1),1)))))*(INDEX('Earth curves'!$C$2:$C$46,MAX(1,MIN(44,IFERROR(MATCH(F155,'Earth curves'!$A$2:$A$46,1),1)))+1)-INDEX('Earth curves'!$C$2:$C$46,MAX(1,MIN(44,IFERROR(MATCH(F155,'Earth curves'!$A$2:$A$46,1),1)))))/(INDEX('Earth curves'!$A$2:$A$46,MAX(1,MIN(44,IFERROR(MATCH(F155,'Earth curves'!$A$2:$A$46,1),1)))+1)-INDEX('Earth curves'!$A$2:$A$46,MAX(1,MIN(44,IFERROR(MATCH(F155,'Earth curves'!$A$2:$A$46,1),1))))))</f>
        <v/>
      </c>
      <c r="S155" s="6">
        <f>MEDIAN(0.307692,Q155+MEDIAN(-0.350583,O155+NORMSINV(H155)*0.064828*Config!$B$3,0.120277),0.993846)</f>
        <v/>
      </c>
      <c r="T155" s="10">
        <f>ROUND(Config!$B$7+(Config!$B$8-Config!$B$7)*S155,1)</f>
        <v/>
      </c>
      <c r="U155" s="11" t="n"/>
      <c r="V155" s="10">
        <f>IF(U155="",T155,U155)</f>
        <v/>
      </c>
      <c r="W155" s="6">
        <f>MEDIAN(0.05,R155+MEDIAN(-0.302219,P155+NORMSINV(I155)*0.089531*Config!$B$3,0.274961),0.999)</f>
        <v/>
      </c>
      <c r="X155" s="6">
        <f>(INDEX('Earth curves'!$F$2:$F$46,MAX(1,MIN(44,IFERROR(MATCH(W155,'Earth curves'!$E$2:$E$46,1),1))))+(W155-INDEX('Earth curves'!$E$2:$E$46,MAX(1,MIN(44,IFERROR(MATCH(W155,'Earth curves'!$E$2:$E$46,1),1)))))*(INDEX('Earth curves'!$F$2:$F$46,MAX(1,MIN(44,IFERROR(MATCH(W155,'Earth curves'!$E$2:$E$46,1),1)))+1)-INDEX('Earth curves'!$F$2:$F$46,MAX(1,MIN(44,IFERROR(MATCH(W155,'Earth curves'!$E$2:$E$46,1),1)))))/(INDEX('Earth curves'!$E$2:$E$46,MAX(1,MIN(44,IFERROR(MATCH(W155,'Earth curves'!$E$2:$E$46,1),1)))+1)-INDEX('Earth curves'!$E$2:$E$46,MAX(1,MIN(44,IFERROR(MATCH(W155,'Earth curves'!$E$2:$E$46,1),1))))))</f>
        <v/>
      </c>
      <c r="Y155" s="6">
        <f>(INDEX('Earth curves'!$G$2:$G$46,MAX(1,MIN(44,IFERROR(MATCH(W155,'Earth curves'!$E$2:$E$46,1),1))))+(W155-INDEX('Earth curves'!$E$2:$E$46,MAX(1,MIN(44,IFERROR(MATCH(W155,'Earth curves'!$E$2:$E$46,1),1)))))*(INDEX('Earth curves'!$G$2:$G$46,MAX(1,MIN(44,IFERROR(MATCH(W155,'Earth curves'!$E$2:$E$46,1),1)))+1)-INDEX('Earth curves'!$G$2:$G$46,MAX(1,MIN(44,IFERROR(MATCH(W155,'Earth curves'!$E$2:$E$46,1),1)))))/(INDEX('Earth curves'!$E$2:$E$46,MAX(1,MIN(44,IFERROR(MATCH(W155,'Earth curves'!$E$2:$E$46,1),1)))+1)-INDEX('Earth curves'!$E$2:$E$46,MAX(1,MIN(44,IFERROR(MATCH(W155,'Earth curves'!$E$2:$E$46,1),1))))))</f>
        <v/>
      </c>
      <c r="Z155" s="6">
        <f>(MIN(X155/Config!$B$9,1)+MIN(Y155/Config!$B$10,1))/2</f>
        <v/>
      </c>
      <c r="AA155" s="10">
        <f>ROUND(MIN(22,MAX(3,X155*W155/Z155)),1)</f>
        <v/>
      </c>
      <c r="AB155" s="11" t="n"/>
      <c r="AC155" s="10">
        <f>IF(AB155="",AA155,AB155)</f>
        <v/>
      </c>
      <c r="AD155" s="10">
        <f>ROUND(MIN(Config!$B$10,MAX(1,Y155*W155/Z155)),1)</f>
        <v/>
      </c>
      <c r="AE155" s="11" t="n"/>
      <c r="AF155" s="10">
        <f>IF(AE155="",AD155,AE155)</f>
        <v/>
      </c>
      <c r="AG155" s="9">
        <f>(V155-Config!$B$7)/(Config!$B$8-Config!$B$7)</f>
        <v/>
      </c>
      <c r="AH155" s="9">
        <f>(MIN(AC155/Config!$B$9,1)+MIN(AF155/Config!$B$10,1))/2</f>
        <v/>
      </c>
      <c r="AI155" s="12">
        <f>ROUND((AG155*AH155*G155)^(1/3),3)</f>
        <v/>
      </c>
      <c r="AJ155" s="12" t="n">
        <v>0.887</v>
      </c>
      <c r="AK155" s="13">
        <f>AI155-AJ155</f>
        <v/>
      </c>
      <c r="AL155" s="13">
        <f>AK155-AVERAGE($AK$2:$AK$173)</f>
        <v/>
      </c>
      <c r="AM155" s="6">
        <f>IF(ABS(AL155)&gt;Config!$B$11,"REVIEW","")</f>
        <v/>
      </c>
      <c r="AN155" s="14">
        <f>RANK(AI155,$AI$2:$AI$173)</f>
        <v/>
      </c>
      <c r="AO155" s="14">
        <f>RANK(AJ155,$AJ$2:$AJ$173)</f>
        <v/>
      </c>
      <c r="AP155" s="14" t="n">
        <v>155</v>
      </c>
    </row>
    <row r="156">
      <c r="A156" s="6" t="inlineStr">
        <is>
          <t>Veelmit</t>
        </is>
      </c>
      <c r="B156" s="6" t="inlineStr">
        <is>
          <t>New Ayre</t>
        </is>
      </c>
      <c r="C156" s="6" t="inlineStr">
        <is>
          <t>—</t>
        </is>
      </c>
      <c r="D156" s="7" t="n">
        <v>13619</v>
      </c>
      <c r="E156" s="8">
        <f>D156*Config!$B$4</f>
        <v/>
      </c>
      <c r="F156" s="6">
        <f>LN(MAX(60,E156))</f>
        <v/>
      </c>
      <c r="G156" s="9">
        <f>MEDIAN(0,(F156-LN(Config!$B$5))/(LN(Config!$B$6)-LN(Config!$B$5)),1)</f>
        <v/>
      </c>
      <c r="H156" s="6">
        <f>MOD((Config!$B$2+$AP156*7919)*9301+49297,233280)/233280</f>
        <v/>
      </c>
      <c r="I156" s="6">
        <f>MOD((Config!$B$2+$AP156*104729)*4096+150889,714025)/714025</f>
        <v/>
      </c>
      <c r="J156" s="6">
        <f>MOD((Config!$B$2*31+$AP156*15485863)*1366+150889,714025)/714025</f>
        <v/>
      </c>
      <c r="K156" s="6" t="n"/>
      <c r="L156" s="6" t="n"/>
      <c r="M156" s="6">
        <f>COUNTIF(Siblings!$A$2:$A$84,B156)</f>
        <v/>
      </c>
      <c r="N156" s="6">
        <f>1+INT(J156*M156)</f>
        <v/>
      </c>
      <c r="O156" s="6">
        <f>IF(K156&lt;&gt;"",K156,IFERROR(INDEX(Siblings!$D$2:$D$84,MATCH(B156&amp;"|"&amp;N156,Siblings!$F$2:$F$84,0)),0))</f>
        <v/>
      </c>
      <c r="P156" s="6">
        <f>IF(L156&lt;&gt;"",L156,IFERROR(INDEX(Siblings!$E$2:$E$84,MATCH(B156&amp;"|"&amp;N156,Siblings!$F$2:$F$84,0)),0))</f>
        <v/>
      </c>
      <c r="Q156" s="6">
        <f>(INDEX('Earth curves'!$B$2:$B$46,MAX(1,MIN(44,IFERROR(MATCH(F156,'Earth curves'!$A$2:$A$46,1),1))))+(F156-INDEX('Earth curves'!$A$2:$A$46,MAX(1,MIN(44,IFERROR(MATCH(F156,'Earth curves'!$A$2:$A$46,1),1)))))*(INDEX('Earth curves'!$B$2:$B$46,MAX(1,MIN(44,IFERROR(MATCH(F156,'Earth curves'!$A$2:$A$46,1),1)))+1)-INDEX('Earth curves'!$B$2:$B$46,MAX(1,MIN(44,IFERROR(MATCH(F156,'Earth curves'!$A$2:$A$46,1),1)))))/(INDEX('Earth curves'!$A$2:$A$46,MAX(1,MIN(44,IFERROR(MATCH(F156,'Earth curves'!$A$2:$A$46,1),1)))+1)-INDEX('Earth curves'!$A$2:$A$46,MAX(1,MIN(44,IFERROR(MATCH(F156,'Earth curves'!$A$2:$A$46,1),1))))))</f>
        <v/>
      </c>
      <c r="R156" s="6">
        <f>(INDEX('Earth curves'!$C$2:$C$46,MAX(1,MIN(44,IFERROR(MATCH(F156,'Earth curves'!$A$2:$A$46,1),1))))+(F156-INDEX('Earth curves'!$A$2:$A$46,MAX(1,MIN(44,IFERROR(MATCH(F156,'Earth curves'!$A$2:$A$46,1),1)))))*(INDEX('Earth curves'!$C$2:$C$46,MAX(1,MIN(44,IFERROR(MATCH(F156,'Earth curves'!$A$2:$A$46,1),1)))+1)-INDEX('Earth curves'!$C$2:$C$46,MAX(1,MIN(44,IFERROR(MATCH(F156,'Earth curves'!$A$2:$A$46,1),1)))))/(INDEX('Earth curves'!$A$2:$A$46,MAX(1,MIN(44,IFERROR(MATCH(F156,'Earth curves'!$A$2:$A$46,1),1)))+1)-INDEX('Earth curves'!$A$2:$A$46,MAX(1,MIN(44,IFERROR(MATCH(F156,'Earth curves'!$A$2:$A$46,1),1))))))</f>
        <v/>
      </c>
      <c r="S156" s="6">
        <f>MEDIAN(0.307692,Q156+MEDIAN(-0.350583,O156+NORMSINV(H156)*0.064828*Config!$B$3,0.120277),0.993846)</f>
        <v/>
      </c>
      <c r="T156" s="10">
        <f>ROUND(Config!$B$7+(Config!$B$8-Config!$B$7)*S156,1)</f>
        <v/>
      </c>
      <c r="U156" s="11" t="n"/>
      <c r="V156" s="10">
        <f>IF(U156="",T156,U156)</f>
        <v/>
      </c>
      <c r="W156" s="6">
        <f>MEDIAN(0.05,R156+MEDIAN(-0.302219,P156+NORMSINV(I156)*0.089531*Config!$B$3,0.274961),0.999)</f>
        <v/>
      </c>
      <c r="X156" s="6">
        <f>(INDEX('Earth curves'!$F$2:$F$46,MAX(1,MIN(44,IFERROR(MATCH(W156,'Earth curves'!$E$2:$E$46,1),1))))+(W156-INDEX('Earth curves'!$E$2:$E$46,MAX(1,MIN(44,IFERROR(MATCH(W156,'Earth curves'!$E$2:$E$46,1),1)))))*(INDEX('Earth curves'!$F$2:$F$46,MAX(1,MIN(44,IFERROR(MATCH(W156,'Earth curves'!$E$2:$E$46,1),1)))+1)-INDEX('Earth curves'!$F$2:$F$46,MAX(1,MIN(44,IFERROR(MATCH(W156,'Earth curves'!$E$2:$E$46,1),1)))))/(INDEX('Earth curves'!$E$2:$E$46,MAX(1,MIN(44,IFERROR(MATCH(W156,'Earth curves'!$E$2:$E$46,1),1)))+1)-INDEX('Earth curves'!$E$2:$E$46,MAX(1,MIN(44,IFERROR(MATCH(W156,'Earth curves'!$E$2:$E$46,1),1))))))</f>
        <v/>
      </c>
      <c r="Y156" s="6">
        <f>(INDEX('Earth curves'!$G$2:$G$46,MAX(1,MIN(44,IFERROR(MATCH(W156,'Earth curves'!$E$2:$E$46,1),1))))+(W156-INDEX('Earth curves'!$E$2:$E$46,MAX(1,MIN(44,IFERROR(MATCH(W156,'Earth curves'!$E$2:$E$46,1),1)))))*(INDEX('Earth curves'!$G$2:$G$46,MAX(1,MIN(44,IFERROR(MATCH(W156,'Earth curves'!$E$2:$E$46,1),1)))+1)-INDEX('Earth curves'!$G$2:$G$46,MAX(1,MIN(44,IFERROR(MATCH(W156,'Earth curves'!$E$2:$E$46,1),1)))))/(INDEX('Earth curves'!$E$2:$E$46,MAX(1,MIN(44,IFERROR(MATCH(W156,'Earth curves'!$E$2:$E$46,1),1)))+1)-INDEX('Earth curves'!$E$2:$E$46,MAX(1,MIN(44,IFERROR(MATCH(W156,'Earth curves'!$E$2:$E$46,1),1))))))</f>
        <v/>
      </c>
      <c r="Z156" s="6">
        <f>(MIN(X156/Config!$B$9,1)+MIN(Y156/Config!$B$10,1))/2</f>
        <v/>
      </c>
      <c r="AA156" s="10">
        <f>ROUND(MIN(22,MAX(3,X156*W156/Z156)),1)</f>
        <v/>
      </c>
      <c r="AB156" s="11" t="n"/>
      <c r="AC156" s="10">
        <f>IF(AB156="",AA156,AB156)</f>
        <v/>
      </c>
      <c r="AD156" s="10">
        <f>ROUND(MIN(Config!$B$10,MAX(1,Y156*W156/Z156)),1)</f>
        <v/>
      </c>
      <c r="AE156" s="11" t="n"/>
      <c r="AF156" s="10">
        <f>IF(AE156="",AD156,AE156)</f>
        <v/>
      </c>
      <c r="AG156" s="9">
        <f>(V156-Config!$B$7)/(Config!$B$8-Config!$B$7)</f>
        <v/>
      </c>
      <c r="AH156" s="9">
        <f>(MIN(AC156/Config!$B$9,1)+MIN(AF156/Config!$B$10,1))/2</f>
        <v/>
      </c>
      <c r="AI156" s="12">
        <f>ROUND((AG156*AH156*G156)^(1/3),3)</f>
        <v/>
      </c>
      <c r="AJ156" s="12" t="n">
        <v>0.699</v>
      </c>
      <c r="AK156" s="13">
        <f>AI156-AJ156</f>
        <v/>
      </c>
      <c r="AL156" s="13">
        <f>AK156-AVERAGE($AK$2:$AK$173)</f>
        <v/>
      </c>
      <c r="AM156" s="6">
        <f>IF(ABS(AL156)&gt;Config!$B$11,"REVIEW","")</f>
        <v/>
      </c>
      <c r="AN156" s="14">
        <f>RANK(AI156,$AI$2:$AI$173)</f>
        <v/>
      </c>
      <c r="AO156" s="14">
        <f>RANK(AJ156,$AJ$2:$AJ$173)</f>
        <v/>
      </c>
      <c r="AP156" s="14" t="n">
        <v>156</v>
      </c>
    </row>
    <row r="157">
      <c r="A157" s="6" t="inlineStr">
        <is>
          <t>Verste</t>
        </is>
      </c>
      <c r="B157" s="6" t="inlineStr">
        <is>
          <t>Quia</t>
        </is>
      </c>
      <c r="C157" s="6" t="inlineStr">
        <is>
          <t>petro, resource</t>
        </is>
      </c>
      <c r="D157" s="7" t="n">
        <v>80952</v>
      </c>
      <c r="E157" s="8">
        <f>D157*Config!$B$4</f>
        <v/>
      </c>
      <c r="F157" s="6">
        <f>LN(MAX(60,E157))</f>
        <v/>
      </c>
      <c r="G157" s="9">
        <f>MEDIAN(0,(F157-LN(Config!$B$5))/(LN(Config!$B$6)-LN(Config!$B$5)),1)</f>
        <v/>
      </c>
      <c r="H157" s="6">
        <f>MOD((Config!$B$2+$AP157*7919)*9301+49297,233280)/233280</f>
        <v/>
      </c>
      <c r="I157" s="6">
        <f>MOD((Config!$B$2+$AP157*104729)*4096+150889,714025)/714025</f>
        <v/>
      </c>
      <c r="J157" s="6">
        <f>MOD((Config!$B$2*31+$AP157*15485863)*1366+150889,714025)/714025</f>
        <v/>
      </c>
      <c r="K157" s="6" t="n">
        <v>-0.034619</v>
      </c>
      <c r="L157" s="6" t="n">
        <v>-0.088571</v>
      </c>
      <c r="M157" s="6">
        <f>COUNTIF(Siblings!$A$2:$A$84,B157)</f>
        <v/>
      </c>
      <c r="N157" s="6">
        <f>1+INT(J157*M157)</f>
        <v/>
      </c>
      <c r="O157" s="6">
        <f>IF(K157&lt;&gt;"",K157,IFERROR(INDEX(Siblings!$D$2:$D$84,MATCH(B157&amp;"|"&amp;N157,Siblings!$F$2:$F$84,0)),0))</f>
        <v/>
      </c>
      <c r="P157" s="6">
        <f>IF(L157&lt;&gt;"",L157,IFERROR(INDEX(Siblings!$E$2:$E$84,MATCH(B157&amp;"|"&amp;N157,Siblings!$F$2:$F$84,0)),0))</f>
        <v/>
      </c>
      <c r="Q157" s="6">
        <f>(INDEX('Earth curves'!$B$2:$B$46,MAX(1,MIN(44,IFERROR(MATCH(F157,'Earth curves'!$A$2:$A$46,1),1))))+(F157-INDEX('Earth curves'!$A$2:$A$46,MAX(1,MIN(44,IFERROR(MATCH(F157,'Earth curves'!$A$2:$A$46,1),1)))))*(INDEX('Earth curves'!$B$2:$B$46,MAX(1,MIN(44,IFERROR(MATCH(F157,'Earth curves'!$A$2:$A$46,1),1)))+1)-INDEX('Earth curves'!$B$2:$B$46,MAX(1,MIN(44,IFERROR(MATCH(F157,'Earth curves'!$A$2:$A$46,1),1)))))/(INDEX('Earth curves'!$A$2:$A$46,MAX(1,MIN(44,IFERROR(MATCH(F157,'Earth curves'!$A$2:$A$46,1),1)))+1)-INDEX('Earth curves'!$A$2:$A$46,MAX(1,MIN(44,IFERROR(MATCH(F157,'Earth curves'!$A$2:$A$46,1),1))))))</f>
        <v/>
      </c>
      <c r="R157" s="6">
        <f>(INDEX('Earth curves'!$C$2:$C$46,MAX(1,MIN(44,IFERROR(MATCH(F157,'Earth curves'!$A$2:$A$46,1),1))))+(F157-INDEX('Earth curves'!$A$2:$A$46,MAX(1,MIN(44,IFERROR(MATCH(F157,'Earth curves'!$A$2:$A$46,1),1)))))*(INDEX('Earth curves'!$C$2:$C$46,MAX(1,MIN(44,IFERROR(MATCH(F157,'Earth curves'!$A$2:$A$46,1),1)))+1)-INDEX('Earth curves'!$C$2:$C$46,MAX(1,MIN(44,IFERROR(MATCH(F157,'Earth curves'!$A$2:$A$46,1),1)))))/(INDEX('Earth curves'!$A$2:$A$46,MAX(1,MIN(44,IFERROR(MATCH(F157,'Earth curves'!$A$2:$A$46,1),1)))+1)-INDEX('Earth curves'!$A$2:$A$46,MAX(1,MIN(44,IFERROR(MATCH(F157,'Earth curves'!$A$2:$A$46,1),1))))))</f>
        <v/>
      </c>
      <c r="S157" s="6">
        <f>MEDIAN(0.307692,Q157+MEDIAN(-0.350583,O157+NORMSINV(H157)*0.064828*Config!$B$3,0.120277),0.993846)</f>
        <v/>
      </c>
      <c r="T157" s="10">
        <f>ROUND(Config!$B$7+(Config!$B$8-Config!$B$7)*S157,1)</f>
        <v/>
      </c>
      <c r="U157" s="11" t="n"/>
      <c r="V157" s="10">
        <f>IF(U157="",T157,U157)</f>
        <v/>
      </c>
      <c r="W157" s="6">
        <f>MEDIAN(0.05,R157+MEDIAN(-0.302219,P157+NORMSINV(I157)*0.089531*Config!$B$3,0.274961),0.999)</f>
        <v/>
      </c>
      <c r="X157" s="6">
        <f>(INDEX('Earth curves'!$F$2:$F$46,MAX(1,MIN(44,IFERROR(MATCH(W157,'Earth curves'!$E$2:$E$46,1),1))))+(W157-INDEX('Earth curves'!$E$2:$E$46,MAX(1,MIN(44,IFERROR(MATCH(W157,'Earth curves'!$E$2:$E$46,1),1)))))*(INDEX('Earth curves'!$F$2:$F$46,MAX(1,MIN(44,IFERROR(MATCH(W157,'Earth curves'!$E$2:$E$46,1),1)))+1)-INDEX('Earth curves'!$F$2:$F$46,MAX(1,MIN(44,IFERROR(MATCH(W157,'Earth curves'!$E$2:$E$46,1),1)))))/(INDEX('Earth curves'!$E$2:$E$46,MAX(1,MIN(44,IFERROR(MATCH(W157,'Earth curves'!$E$2:$E$46,1),1)))+1)-INDEX('Earth curves'!$E$2:$E$46,MAX(1,MIN(44,IFERROR(MATCH(W157,'Earth curves'!$E$2:$E$46,1),1))))))</f>
        <v/>
      </c>
      <c r="Y157" s="6">
        <f>(INDEX('Earth curves'!$G$2:$G$46,MAX(1,MIN(44,IFERROR(MATCH(W157,'Earth curves'!$E$2:$E$46,1),1))))+(W157-INDEX('Earth curves'!$E$2:$E$46,MAX(1,MIN(44,IFERROR(MATCH(W157,'Earth curves'!$E$2:$E$46,1),1)))))*(INDEX('Earth curves'!$G$2:$G$46,MAX(1,MIN(44,IFERROR(MATCH(W157,'Earth curves'!$E$2:$E$46,1),1)))+1)-INDEX('Earth curves'!$G$2:$G$46,MAX(1,MIN(44,IFERROR(MATCH(W157,'Earth curves'!$E$2:$E$46,1),1)))))/(INDEX('Earth curves'!$E$2:$E$46,MAX(1,MIN(44,IFERROR(MATCH(W157,'Earth curves'!$E$2:$E$46,1),1)))+1)-INDEX('Earth curves'!$E$2:$E$46,MAX(1,MIN(44,IFERROR(MATCH(W157,'Earth curves'!$E$2:$E$46,1),1))))))</f>
        <v/>
      </c>
      <c r="Z157" s="6">
        <f>(MIN(X157/Config!$B$9,1)+MIN(Y157/Config!$B$10,1))/2</f>
        <v/>
      </c>
      <c r="AA157" s="10">
        <f>ROUND(MIN(22,MAX(3,X157*W157/Z157)),1)</f>
        <v/>
      </c>
      <c r="AB157" s="11" t="n"/>
      <c r="AC157" s="10">
        <f>IF(AB157="",AA157,AB157)</f>
        <v/>
      </c>
      <c r="AD157" s="10">
        <f>ROUND(MIN(Config!$B$10,MAX(1,Y157*W157/Z157)),1)</f>
        <v/>
      </c>
      <c r="AE157" s="11" t="n"/>
      <c r="AF157" s="10">
        <f>IF(AE157="",AD157,AE157)</f>
        <v/>
      </c>
      <c r="AG157" s="9">
        <f>(V157-Config!$B$7)/(Config!$B$8-Config!$B$7)</f>
        <v/>
      </c>
      <c r="AH157" s="9">
        <f>(MIN(AC157/Config!$B$9,1)+MIN(AF157/Config!$B$10,1))/2</f>
        <v/>
      </c>
      <c r="AI157" s="12">
        <f>ROUND((AG157*AH157*G157)^(1/3),3)</f>
        <v/>
      </c>
      <c r="AJ157" s="12" t="n">
        <v>0.9</v>
      </c>
      <c r="AK157" s="13">
        <f>AI157-AJ157</f>
        <v/>
      </c>
      <c r="AL157" s="13">
        <f>AK157-AVERAGE($AK$2:$AK$173)</f>
        <v/>
      </c>
      <c r="AM157" s="6">
        <f>IF(ABS(AL157)&gt;Config!$B$11,"REVIEW","")</f>
        <v/>
      </c>
      <c r="AN157" s="14">
        <f>RANK(AI157,$AI$2:$AI$173)</f>
        <v/>
      </c>
      <c r="AO157" s="14">
        <f>RANK(AJ157,$AJ$2:$AJ$173)</f>
        <v/>
      </c>
      <c r="AP157" s="14" t="n">
        <v>157</v>
      </c>
    </row>
    <row r="158">
      <c r="A158" s="6" t="inlineStr">
        <is>
          <t>Verusa</t>
        </is>
      </c>
      <c r="B158" s="6" t="inlineStr">
        <is>
          <t>Ayuma</t>
        </is>
      </c>
      <c r="C158" s="6" t="inlineStr">
        <is>
          <t>resource, university</t>
        </is>
      </c>
      <c r="D158" s="7" t="n">
        <v>178413</v>
      </c>
      <c r="E158" s="8">
        <f>D158*Config!$B$4</f>
        <v/>
      </c>
      <c r="F158" s="6">
        <f>LN(MAX(60,E158))</f>
        <v/>
      </c>
      <c r="G158" s="9">
        <f>MEDIAN(0,(F158-LN(Config!$B$5))/(LN(Config!$B$6)-LN(Config!$B$5)),1)</f>
        <v/>
      </c>
      <c r="H158" s="6">
        <f>MOD((Config!$B$2+$AP158*7919)*9301+49297,233280)/233280</f>
        <v/>
      </c>
      <c r="I158" s="6">
        <f>MOD((Config!$B$2+$AP158*104729)*4096+150889,714025)/714025</f>
        <v/>
      </c>
      <c r="J158" s="6">
        <f>MOD((Config!$B$2*31+$AP158*15485863)*1366+150889,714025)/714025</f>
        <v/>
      </c>
      <c r="K158" s="6" t="n"/>
      <c r="L158" s="6" t="n"/>
      <c r="M158" s="6">
        <f>COUNTIF(Siblings!$A$2:$A$84,B158)</f>
        <v/>
      </c>
      <c r="N158" s="6">
        <f>1+INT(J158*M158)</f>
        <v/>
      </c>
      <c r="O158" s="6">
        <f>IF(K158&lt;&gt;"",K158,IFERROR(INDEX(Siblings!$D$2:$D$84,MATCH(B158&amp;"|"&amp;N158,Siblings!$F$2:$F$84,0)),0))</f>
        <v/>
      </c>
      <c r="P158" s="6">
        <f>IF(L158&lt;&gt;"",L158,IFERROR(INDEX(Siblings!$E$2:$E$84,MATCH(B158&amp;"|"&amp;N158,Siblings!$F$2:$F$84,0)),0))</f>
        <v/>
      </c>
      <c r="Q158" s="6">
        <f>(INDEX('Earth curves'!$B$2:$B$46,MAX(1,MIN(44,IFERROR(MATCH(F158,'Earth curves'!$A$2:$A$46,1),1))))+(F158-INDEX('Earth curves'!$A$2:$A$46,MAX(1,MIN(44,IFERROR(MATCH(F158,'Earth curves'!$A$2:$A$46,1),1)))))*(INDEX('Earth curves'!$B$2:$B$46,MAX(1,MIN(44,IFERROR(MATCH(F158,'Earth curves'!$A$2:$A$46,1),1)))+1)-INDEX('Earth curves'!$B$2:$B$46,MAX(1,MIN(44,IFERROR(MATCH(F158,'Earth curves'!$A$2:$A$46,1),1)))))/(INDEX('Earth curves'!$A$2:$A$46,MAX(1,MIN(44,IFERROR(MATCH(F158,'Earth curves'!$A$2:$A$46,1),1)))+1)-INDEX('Earth curves'!$A$2:$A$46,MAX(1,MIN(44,IFERROR(MATCH(F158,'Earth curves'!$A$2:$A$46,1),1))))))</f>
        <v/>
      </c>
      <c r="R158" s="6">
        <f>(INDEX('Earth curves'!$C$2:$C$46,MAX(1,MIN(44,IFERROR(MATCH(F158,'Earth curves'!$A$2:$A$46,1),1))))+(F158-INDEX('Earth curves'!$A$2:$A$46,MAX(1,MIN(44,IFERROR(MATCH(F158,'Earth curves'!$A$2:$A$46,1),1)))))*(INDEX('Earth curves'!$C$2:$C$46,MAX(1,MIN(44,IFERROR(MATCH(F158,'Earth curves'!$A$2:$A$46,1),1)))+1)-INDEX('Earth curves'!$C$2:$C$46,MAX(1,MIN(44,IFERROR(MATCH(F158,'Earth curves'!$A$2:$A$46,1),1)))))/(INDEX('Earth curves'!$A$2:$A$46,MAX(1,MIN(44,IFERROR(MATCH(F158,'Earth curves'!$A$2:$A$46,1),1)))+1)-INDEX('Earth curves'!$A$2:$A$46,MAX(1,MIN(44,IFERROR(MATCH(F158,'Earth curves'!$A$2:$A$46,1),1))))))</f>
        <v/>
      </c>
      <c r="S158" s="6">
        <f>MEDIAN(0.307692,Q158+MEDIAN(-0.350583,O158+NORMSINV(H158)*0.064828*Config!$B$3,0.120277),0.993846)</f>
        <v/>
      </c>
      <c r="T158" s="10">
        <f>ROUND(Config!$B$7+(Config!$B$8-Config!$B$7)*S158,1)</f>
        <v/>
      </c>
      <c r="U158" s="11" t="n"/>
      <c r="V158" s="10">
        <f>IF(U158="",T158,U158)</f>
        <v/>
      </c>
      <c r="W158" s="6">
        <f>MEDIAN(0.05,R158+MEDIAN(-0.302219,P158+NORMSINV(I158)*0.089531*Config!$B$3,0.274961),0.999)</f>
        <v/>
      </c>
      <c r="X158" s="6">
        <f>(INDEX('Earth curves'!$F$2:$F$46,MAX(1,MIN(44,IFERROR(MATCH(W158,'Earth curves'!$E$2:$E$46,1),1))))+(W158-INDEX('Earth curves'!$E$2:$E$46,MAX(1,MIN(44,IFERROR(MATCH(W158,'Earth curves'!$E$2:$E$46,1),1)))))*(INDEX('Earth curves'!$F$2:$F$46,MAX(1,MIN(44,IFERROR(MATCH(W158,'Earth curves'!$E$2:$E$46,1),1)))+1)-INDEX('Earth curves'!$F$2:$F$46,MAX(1,MIN(44,IFERROR(MATCH(W158,'Earth curves'!$E$2:$E$46,1),1)))))/(INDEX('Earth curves'!$E$2:$E$46,MAX(1,MIN(44,IFERROR(MATCH(W158,'Earth curves'!$E$2:$E$46,1),1)))+1)-INDEX('Earth curves'!$E$2:$E$46,MAX(1,MIN(44,IFERROR(MATCH(W158,'Earth curves'!$E$2:$E$46,1),1))))))</f>
        <v/>
      </c>
      <c r="Y158" s="6">
        <f>(INDEX('Earth curves'!$G$2:$G$46,MAX(1,MIN(44,IFERROR(MATCH(W158,'Earth curves'!$E$2:$E$46,1),1))))+(W158-INDEX('Earth curves'!$E$2:$E$46,MAX(1,MIN(44,IFERROR(MATCH(W158,'Earth curves'!$E$2:$E$46,1),1)))))*(INDEX('Earth curves'!$G$2:$G$46,MAX(1,MIN(44,IFERROR(MATCH(W158,'Earth curves'!$E$2:$E$46,1),1)))+1)-INDEX('Earth curves'!$G$2:$G$46,MAX(1,MIN(44,IFERROR(MATCH(W158,'Earth curves'!$E$2:$E$46,1),1)))))/(INDEX('Earth curves'!$E$2:$E$46,MAX(1,MIN(44,IFERROR(MATCH(W158,'Earth curves'!$E$2:$E$46,1),1)))+1)-INDEX('Earth curves'!$E$2:$E$46,MAX(1,MIN(44,IFERROR(MATCH(W158,'Earth curves'!$E$2:$E$46,1),1))))))</f>
        <v/>
      </c>
      <c r="Z158" s="6">
        <f>(MIN(X158/Config!$B$9,1)+MIN(Y158/Config!$B$10,1))/2</f>
        <v/>
      </c>
      <c r="AA158" s="10">
        <f>ROUND(MIN(22,MAX(3,X158*W158/Z158)),1)</f>
        <v/>
      </c>
      <c r="AB158" s="11" t="n"/>
      <c r="AC158" s="10">
        <f>IF(AB158="",AA158,AB158)</f>
        <v/>
      </c>
      <c r="AD158" s="10">
        <f>ROUND(MIN(Config!$B$10,MAX(1,Y158*W158/Z158)),1)</f>
        <v/>
      </c>
      <c r="AE158" s="11" t="n"/>
      <c r="AF158" s="10">
        <f>IF(AE158="",AD158,AE158)</f>
        <v/>
      </c>
      <c r="AG158" s="9">
        <f>(V158-Config!$B$7)/(Config!$B$8-Config!$B$7)</f>
        <v/>
      </c>
      <c r="AH158" s="9">
        <f>(MIN(AC158/Config!$B$9,1)+MIN(AF158/Config!$B$10,1))/2</f>
        <v/>
      </c>
      <c r="AI158" s="12">
        <f>ROUND((AG158*AH158*G158)^(1/3),3)</f>
        <v/>
      </c>
      <c r="AJ158" s="12" t="n">
        <v>0.974</v>
      </c>
      <c r="AK158" s="13">
        <f>AI158-AJ158</f>
        <v/>
      </c>
      <c r="AL158" s="13">
        <f>AK158-AVERAGE($AK$2:$AK$173)</f>
        <v/>
      </c>
      <c r="AM158" s="6">
        <f>IF(ABS(AL158)&gt;Config!$B$11,"REVIEW","")</f>
        <v/>
      </c>
      <c r="AN158" s="14">
        <f>RANK(AI158,$AI$2:$AI$173)</f>
        <v/>
      </c>
      <c r="AO158" s="14">
        <f>RANK(AJ158,$AJ$2:$AJ$173)</f>
        <v/>
      </c>
      <c r="AP158" s="14" t="n">
        <v>158</v>
      </c>
    </row>
    <row r="159">
      <c r="A159" s="6" t="inlineStr">
        <is>
          <t>Vesozata</t>
        </is>
      </c>
      <c r="B159" s="6" t="inlineStr">
        <is>
          <t>Massir</t>
        </is>
      </c>
      <c r="C159" s="6" t="inlineStr">
        <is>
          <t>resource</t>
        </is>
      </c>
      <c r="D159" s="7" t="n">
        <v>24794</v>
      </c>
      <c r="E159" s="8">
        <f>D159*Config!$B$4</f>
        <v/>
      </c>
      <c r="F159" s="6">
        <f>LN(MAX(60,E159))</f>
        <v/>
      </c>
      <c r="G159" s="9">
        <f>MEDIAN(0,(F159-LN(Config!$B$5))/(LN(Config!$B$6)-LN(Config!$B$5)),1)</f>
        <v/>
      </c>
      <c r="H159" s="6">
        <f>MOD((Config!$B$2+$AP159*7919)*9301+49297,233280)/233280</f>
        <v/>
      </c>
      <c r="I159" s="6">
        <f>MOD((Config!$B$2+$AP159*104729)*4096+150889,714025)/714025</f>
        <v/>
      </c>
      <c r="J159" s="6">
        <f>MOD((Config!$B$2*31+$AP159*15485863)*1366+150889,714025)/714025</f>
        <v/>
      </c>
      <c r="K159" s="6" t="n">
        <v>-0.100826</v>
      </c>
      <c r="L159" s="6" t="n">
        <v>0.017096</v>
      </c>
      <c r="M159" s="6">
        <f>COUNTIF(Siblings!$A$2:$A$84,B159)</f>
        <v/>
      </c>
      <c r="N159" s="6">
        <f>1+INT(J159*M159)</f>
        <v/>
      </c>
      <c r="O159" s="6">
        <f>IF(K159&lt;&gt;"",K159,IFERROR(INDEX(Siblings!$D$2:$D$84,MATCH(B159&amp;"|"&amp;N159,Siblings!$F$2:$F$84,0)),0))</f>
        <v/>
      </c>
      <c r="P159" s="6">
        <f>IF(L159&lt;&gt;"",L159,IFERROR(INDEX(Siblings!$E$2:$E$84,MATCH(B159&amp;"|"&amp;N159,Siblings!$F$2:$F$84,0)),0))</f>
        <v/>
      </c>
      <c r="Q159" s="6">
        <f>(INDEX('Earth curves'!$B$2:$B$46,MAX(1,MIN(44,IFERROR(MATCH(F159,'Earth curves'!$A$2:$A$46,1),1))))+(F159-INDEX('Earth curves'!$A$2:$A$46,MAX(1,MIN(44,IFERROR(MATCH(F159,'Earth curves'!$A$2:$A$46,1),1)))))*(INDEX('Earth curves'!$B$2:$B$46,MAX(1,MIN(44,IFERROR(MATCH(F159,'Earth curves'!$A$2:$A$46,1),1)))+1)-INDEX('Earth curves'!$B$2:$B$46,MAX(1,MIN(44,IFERROR(MATCH(F159,'Earth curves'!$A$2:$A$46,1),1)))))/(INDEX('Earth curves'!$A$2:$A$46,MAX(1,MIN(44,IFERROR(MATCH(F159,'Earth curves'!$A$2:$A$46,1),1)))+1)-INDEX('Earth curves'!$A$2:$A$46,MAX(1,MIN(44,IFERROR(MATCH(F159,'Earth curves'!$A$2:$A$46,1),1))))))</f>
        <v/>
      </c>
      <c r="R159" s="6">
        <f>(INDEX('Earth curves'!$C$2:$C$46,MAX(1,MIN(44,IFERROR(MATCH(F159,'Earth curves'!$A$2:$A$46,1),1))))+(F159-INDEX('Earth curves'!$A$2:$A$46,MAX(1,MIN(44,IFERROR(MATCH(F159,'Earth curves'!$A$2:$A$46,1),1)))))*(INDEX('Earth curves'!$C$2:$C$46,MAX(1,MIN(44,IFERROR(MATCH(F159,'Earth curves'!$A$2:$A$46,1),1)))+1)-INDEX('Earth curves'!$C$2:$C$46,MAX(1,MIN(44,IFERROR(MATCH(F159,'Earth curves'!$A$2:$A$46,1),1)))))/(INDEX('Earth curves'!$A$2:$A$46,MAX(1,MIN(44,IFERROR(MATCH(F159,'Earth curves'!$A$2:$A$46,1),1)))+1)-INDEX('Earth curves'!$A$2:$A$46,MAX(1,MIN(44,IFERROR(MATCH(F159,'Earth curves'!$A$2:$A$46,1),1))))))</f>
        <v/>
      </c>
      <c r="S159" s="6">
        <f>MEDIAN(0.307692,Q159+MEDIAN(-0.350583,O159+NORMSINV(H159)*0.064828*Config!$B$3,0.120277),0.993846)</f>
        <v/>
      </c>
      <c r="T159" s="10">
        <f>ROUND(Config!$B$7+(Config!$B$8-Config!$B$7)*S159,1)</f>
        <v/>
      </c>
      <c r="U159" s="11" t="n"/>
      <c r="V159" s="10">
        <f>IF(U159="",T159,U159)</f>
        <v/>
      </c>
      <c r="W159" s="6">
        <f>MEDIAN(0.05,R159+MEDIAN(-0.302219,P159+NORMSINV(I159)*0.089531*Config!$B$3,0.274961),0.999)</f>
        <v/>
      </c>
      <c r="X159" s="6">
        <f>(INDEX('Earth curves'!$F$2:$F$46,MAX(1,MIN(44,IFERROR(MATCH(W159,'Earth curves'!$E$2:$E$46,1),1))))+(W159-INDEX('Earth curves'!$E$2:$E$46,MAX(1,MIN(44,IFERROR(MATCH(W159,'Earth curves'!$E$2:$E$46,1),1)))))*(INDEX('Earth curves'!$F$2:$F$46,MAX(1,MIN(44,IFERROR(MATCH(W159,'Earth curves'!$E$2:$E$46,1),1)))+1)-INDEX('Earth curves'!$F$2:$F$46,MAX(1,MIN(44,IFERROR(MATCH(W159,'Earth curves'!$E$2:$E$46,1),1)))))/(INDEX('Earth curves'!$E$2:$E$46,MAX(1,MIN(44,IFERROR(MATCH(W159,'Earth curves'!$E$2:$E$46,1),1)))+1)-INDEX('Earth curves'!$E$2:$E$46,MAX(1,MIN(44,IFERROR(MATCH(W159,'Earth curves'!$E$2:$E$46,1),1))))))</f>
        <v/>
      </c>
      <c r="Y159" s="6">
        <f>(INDEX('Earth curves'!$G$2:$G$46,MAX(1,MIN(44,IFERROR(MATCH(W159,'Earth curves'!$E$2:$E$46,1),1))))+(W159-INDEX('Earth curves'!$E$2:$E$46,MAX(1,MIN(44,IFERROR(MATCH(W159,'Earth curves'!$E$2:$E$46,1),1)))))*(INDEX('Earth curves'!$G$2:$G$46,MAX(1,MIN(44,IFERROR(MATCH(W159,'Earth curves'!$E$2:$E$46,1),1)))+1)-INDEX('Earth curves'!$G$2:$G$46,MAX(1,MIN(44,IFERROR(MATCH(W159,'Earth curves'!$E$2:$E$46,1),1)))))/(INDEX('Earth curves'!$E$2:$E$46,MAX(1,MIN(44,IFERROR(MATCH(W159,'Earth curves'!$E$2:$E$46,1),1)))+1)-INDEX('Earth curves'!$E$2:$E$46,MAX(1,MIN(44,IFERROR(MATCH(W159,'Earth curves'!$E$2:$E$46,1),1))))))</f>
        <v/>
      </c>
      <c r="Z159" s="6">
        <f>(MIN(X159/Config!$B$9,1)+MIN(Y159/Config!$B$10,1))/2</f>
        <v/>
      </c>
      <c r="AA159" s="10">
        <f>ROUND(MIN(22,MAX(3,X159*W159/Z159)),1)</f>
        <v/>
      </c>
      <c r="AB159" s="11" t="n"/>
      <c r="AC159" s="10">
        <f>IF(AB159="",AA159,AB159)</f>
        <v/>
      </c>
      <c r="AD159" s="10">
        <f>ROUND(MIN(Config!$B$10,MAX(1,Y159*W159/Z159)),1)</f>
        <v/>
      </c>
      <c r="AE159" s="11" t="n"/>
      <c r="AF159" s="10">
        <f>IF(AE159="",AD159,AE159)</f>
        <v/>
      </c>
      <c r="AG159" s="9">
        <f>(V159-Config!$B$7)/(Config!$B$8-Config!$B$7)</f>
        <v/>
      </c>
      <c r="AH159" s="9">
        <f>(MIN(AC159/Config!$B$9,1)+MIN(AF159/Config!$B$10,1))/2</f>
        <v/>
      </c>
      <c r="AI159" s="12">
        <f>ROUND((AG159*AH159*G159)^(1/3),3)</f>
        <v/>
      </c>
      <c r="AJ159" s="12" t="n">
        <v>0.6820000000000001</v>
      </c>
      <c r="AK159" s="13">
        <f>AI159-AJ159</f>
        <v/>
      </c>
      <c r="AL159" s="13">
        <f>AK159-AVERAGE($AK$2:$AK$173)</f>
        <v/>
      </c>
      <c r="AM159" s="6">
        <f>IF(ABS(AL159)&gt;Config!$B$11,"REVIEW","")</f>
        <v/>
      </c>
      <c r="AN159" s="14">
        <f>RANK(AI159,$AI$2:$AI$173)</f>
        <v/>
      </c>
      <c r="AO159" s="14">
        <f>RANK(AJ159,$AJ$2:$AJ$173)</f>
        <v/>
      </c>
      <c r="AP159" s="14" t="n">
        <v>159</v>
      </c>
    </row>
    <row r="160">
      <c r="A160" s="6" t="inlineStr">
        <is>
          <t>Viussi</t>
        </is>
      </c>
      <c r="B160" s="6" t="inlineStr">
        <is>
          <t>Acrola</t>
        </is>
      </c>
      <c r="C160" s="6" t="inlineStr">
        <is>
          <t>—</t>
        </is>
      </c>
      <c r="D160" s="7" t="n">
        <v>10698</v>
      </c>
      <c r="E160" s="8">
        <f>D160*Config!$B$4</f>
        <v/>
      </c>
      <c r="F160" s="6">
        <f>LN(MAX(60,E160))</f>
        <v/>
      </c>
      <c r="G160" s="9">
        <f>MEDIAN(0,(F160-LN(Config!$B$5))/(LN(Config!$B$6)-LN(Config!$B$5)),1)</f>
        <v/>
      </c>
      <c r="H160" s="6">
        <f>MOD((Config!$B$2+$AP160*7919)*9301+49297,233280)/233280</f>
        <v/>
      </c>
      <c r="I160" s="6">
        <f>MOD((Config!$B$2+$AP160*104729)*4096+150889,714025)/714025</f>
        <v/>
      </c>
      <c r="J160" s="6">
        <f>MOD((Config!$B$2*31+$AP160*15485863)*1366+150889,714025)/714025</f>
        <v/>
      </c>
      <c r="K160" s="6" t="n">
        <v>-0.017899</v>
      </c>
      <c r="L160" s="6" t="n">
        <v>-0.132171</v>
      </c>
      <c r="M160" s="6">
        <f>COUNTIF(Siblings!$A$2:$A$84,B160)</f>
        <v/>
      </c>
      <c r="N160" s="6">
        <f>1+INT(J160*M160)</f>
        <v/>
      </c>
      <c r="O160" s="6">
        <f>IF(K160&lt;&gt;"",K160,IFERROR(INDEX(Siblings!$D$2:$D$84,MATCH(B160&amp;"|"&amp;N160,Siblings!$F$2:$F$84,0)),0))</f>
        <v/>
      </c>
      <c r="P160" s="6">
        <f>IF(L160&lt;&gt;"",L160,IFERROR(INDEX(Siblings!$E$2:$E$84,MATCH(B160&amp;"|"&amp;N160,Siblings!$F$2:$F$84,0)),0))</f>
        <v/>
      </c>
      <c r="Q160" s="6">
        <f>(INDEX('Earth curves'!$B$2:$B$46,MAX(1,MIN(44,IFERROR(MATCH(F160,'Earth curves'!$A$2:$A$46,1),1))))+(F160-INDEX('Earth curves'!$A$2:$A$46,MAX(1,MIN(44,IFERROR(MATCH(F160,'Earth curves'!$A$2:$A$46,1),1)))))*(INDEX('Earth curves'!$B$2:$B$46,MAX(1,MIN(44,IFERROR(MATCH(F160,'Earth curves'!$A$2:$A$46,1),1)))+1)-INDEX('Earth curves'!$B$2:$B$46,MAX(1,MIN(44,IFERROR(MATCH(F160,'Earth curves'!$A$2:$A$46,1),1)))))/(INDEX('Earth curves'!$A$2:$A$46,MAX(1,MIN(44,IFERROR(MATCH(F160,'Earth curves'!$A$2:$A$46,1),1)))+1)-INDEX('Earth curves'!$A$2:$A$46,MAX(1,MIN(44,IFERROR(MATCH(F160,'Earth curves'!$A$2:$A$46,1),1))))))</f>
        <v/>
      </c>
      <c r="R160" s="6">
        <f>(INDEX('Earth curves'!$C$2:$C$46,MAX(1,MIN(44,IFERROR(MATCH(F160,'Earth curves'!$A$2:$A$46,1),1))))+(F160-INDEX('Earth curves'!$A$2:$A$46,MAX(1,MIN(44,IFERROR(MATCH(F160,'Earth curves'!$A$2:$A$46,1),1)))))*(INDEX('Earth curves'!$C$2:$C$46,MAX(1,MIN(44,IFERROR(MATCH(F160,'Earth curves'!$A$2:$A$46,1),1)))+1)-INDEX('Earth curves'!$C$2:$C$46,MAX(1,MIN(44,IFERROR(MATCH(F160,'Earth curves'!$A$2:$A$46,1),1)))))/(INDEX('Earth curves'!$A$2:$A$46,MAX(1,MIN(44,IFERROR(MATCH(F160,'Earth curves'!$A$2:$A$46,1),1)))+1)-INDEX('Earth curves'!$A$2:$A$46,MAX(1,MIN(44,IFERROR(MATCH(F160,'Earth curves'!$A$2:$A$46,1),1))))))</f>
        <v/>
      </c>
      <c r="S160" s="6">
        <f>MEDIAN(0.307692,Q160+MEDIAN(-0.350583,O160+NORMSINV(H160)*0.064828*Config!$B$3,0.120277),0.993846)</f>
        <v/>
      </c>
      <c r="T160" s="10">
        <f>ROUND(Config!$B$7+(Config!$B$8-Config!$B$7)*S160,1)</f>
        <v/>
      </c>
      <c r="U160" s="11" t="n"/>
      <c r="V160" s="10">
        <f>IF(U160="",T160,U160)</f>
        <v/>
      </c>
      <c r="W160" s="6">
        <f>MEDIAN(0.05,R160+MEDIAN(-0.302219,P160+NORMSINV(I160)*0.089531*Config!$B$3,0.274961),0.999)</f>
        <v/>
      </c>
      <c r="X160" s="6">
        <f>(INDEX('Earth curves'!$F$2:$F$46,MAX(1,MIN(44,IFERROR(MATCH(W160,'Earth curves'!$E$2:$E$46,1),1))))+(W160-INDEX('Earth curves'!$E$2:$E$46,MAX(1,MIN(44,IFERROR(MATCH(W160,'Earth curves'!$E$2:$E$46,1),1)))))*(INDEX('Earth curves'!$F$2:$F$46,MAX(1,MIN(44,IFERROR(MATCH(W160,'Earth curves'!$E$2:$E$46,1),1)))+1)-INDEX('Earth curves'!$F$2:$F$46,MAX(1,MIN(44,IFERROR(MATCH(W160,'Earth curves'!$E$2:$E$46,1),1)))))/(INDEX('Earth curves'!$E$2:$E$46,MAX(1,MIN(44,IFERROR(MATCH(W160,'Earth curves'!$E$2:$E$46,1),1)))+1)-INDEX('Earth curves'!$E$2:$E$46,MAX(1,MIN(44,IFERROR(MATCH(W160,'Earth curves'!$E$2:$E$46,1),1))))))</f>
        <v/>
      </c>
      <c r="Y160" s="6">
        <f>(INDEX('Earth curves'!$G$2:$G$46,MAX(1,MIN(44,IFERROR(MATCH(W160,'Earth curves'!$E$2:$E$46,1),1))))+(W160-INDEX('Earth curves'!$E$2:$E$46,MAX(1,MIN(44,IFERROR(MATCH(W160,'Earth curves'!$E$2:$E$46,1),1)))))*(INDEX('Earth curves'!$G$2:$G$46,MAX(1,MIN(44,IFERROR(MATCH(W160,'Earth curves'!$E$2:$E$46,1),1)))+1)-INDEX('Earth curves'!$G$2:$G$46,MAX(1,MIN(44,IFERROR(MATCH(W160,'Earth curves'!$E$2:$E$46,1),1)))))/(INDEX('Earth curves'!$E$2:$E$46,MAX(1,MIN(44,IFERROR(MATCH(W160,'Earth curves'!$E$2:$E$46,1),1)))+1)-INDEX('Earth curves'!$E$2:$E$46,MAX(1,MIN(44,IFERROR(MATCH(W160,'Earth curves'!$E$2:$E$46,1),1))))))</f>
        <v/>
      </c>
      <c r="Z160" s="6">
        <f>(MIN(X160/Config!$B$9,1)+MIN(Y160/Config!$B$10,1))/2</f>
        <v/>
      </c>
      <c r="AA160" s="10">
        <f>ROUND(MIN(22,MAX(3,X160*W160/Z160)),1)</f>
        <v/>
      </c>
      <c r="AB160" s="11" t="n"/>
      <c r="AC160" s="10">
        <f>IF(AB160="",AA160,AB160)</f>
        <v/>
      </c>
      <c r="AD160" s="10">
        <f>ROUND(MIN(Config!$B$10,MAX(1,Y160*W160/Z160)),1)</f>
        <v/>
      </c>
      <c r="AE160" s="11" t="n"/>
      <c r="AF160" s="10">
        <f>IF(AE160="",AD160,AE160)</f>
        <v/>
      </c>
      <c r="AG160" s="9">
        <f>(V160-Config!$B$7)/(Config!$B$8-Config!$B$7)</f>
        <v/>
      </c>
      <c r="AH160" s="9">
        <f>(MIN(AC160/Config!$B$9,1)+MIN(AF160/Config!$B$10,1))/2</f>
        <v/>
      </c>
      <c r="AI160" s="12">
        <f>ROUND((AG160*AH160*G160)^(1/3),3)</f>
        <v/>
      </c>
      <c r="AJ160" s="12" t="n">
        <v>0.572</v>
      </c>
      <c r="AK160" s="13">
        <f>AI160-AJ160</f>
        <v/>
      </c>
      <c r="AL160" s="13">
        <f>AK160-AVERAGE($AK$2:$AK$173)</f>
        <v/>
      </c>
      <c r="AM160" s="6">
        <f>IF(ABS(AL160)&gt;Config!$B$11,"REVIEW","")</f>
        <v/>
      </c>
      <c r="AN160" s="14">
        <f>RANK(AI160,$AI$2:$AI$173)</f>
        <v/>
      </c>
      <c r="AO160" s="14">
        <f>RANK(AJ160,$AJ$2:$AJ$173)</f>
        <v/>
      </c>
      <c r="AP160" s="14" t="n">
        <v>160</v>
      </c>
    </row>
    <row r="161">
      <c r="A161" s="6" t="inlineStr">
        <is>
          <t>Volver</t>
        </is>
      </c>
      <c r="B161" s="6" t="inlineStr">
        <is>
          <t>Quia</t>
        </is>
      </c>
      <c r="C161" s="6" t="inlineStr">
        <is>
          <t>resource</t>
        </is>
      </c>
      <c r="D161" s="7" t="n">
        <v>59048</v>
      </c>
      <c r="E161" s="8">
        <f>D161*Config!$B$4</f>
        <v/>
      </c>
      <c r="F161" s="6">
        <f>LN(MAX(60,E161))</f>
        <v/>
      </c>
      <c r="G161" s="9">
        <f>MEDIAN(0,(F161-LN(Config!$B$5))/(LN(Config!$B$6)-LN(Config!$B$5)),1)</f>
        <v/>
      </c>
      <c r="H161" s="6">
        <f>MOD((Config!$B$2+$AP161*7919)*9301+49297,233280)/233280</f>
        <v/>
      </c>
      <c r="I161" s="6">
        <f>MOD((Config!$B$2+$AP161*104729)*4096+150889,714025)/714025</f>
        <v/>
      </c>
      <c r="J161" s="6">
        <f>MOD((Config!$B$2*31+$AP161*15485863)*1366+150889,714025)/714025</f>
        <v/>
      </c>
      <c r="K161" s="6" t="n">
        <v>0.084914</v>
      </c>
      <c r="L161" s="6" t="n">
        <v>-0.045287</v>
      </c>
      <c r="M161" s="6">
        <f>COUNTIF(Siblings!$A$2:$A$84,B161)</f>
        <v/>
      </c>
      <c r="N161" s="6">
        <f>1+INT(J161*M161)</f>
        <v/>
      </c>
      <c r="O161" s="6">
        <f>IF(K161&lt;&gt;"",K161,IFERROR(INDEX(Siblings!$D$2:$D$84,MATCH(B161&amp;"|"&amp;N161,Siblings!$F$2:$F$84,0)),0))</f>
        <v/>
      </c>
      <c r="P161" s="6">
        <f>IF(L161&lt;&gt;"",L161,IFERROR(INDEX(Siblings!$E$2:$E$84,MATCH(B161&amp;"|"&amp;N161,Siblings!$F$2:$F$84,0)),0))</f>
        <v/>
      </c>
      <c r="Q161" s="6">
        <f>(INDEX('Earth curves'!$B$2:$B$46,MAX(1,MIN(44,IFERROR(MATCH(F161,'Earth curves'!$A$2:$A$46,1),1))))+(F161-INDEX('Earth curves'!$A$2:$A$46,MAX(1,MIN(44,IFERROR(MATCH(F161,'Earth curves'!$A$2:$A$46,1),1)))))*(INDEX('Earth curves'!$B$2:$B$46,MAX(1,MIN(44,IFERROR(MATCH(F161,'Earth curves'!$A$2:$A$46,1),1)))+1)-INDEX('Earth curves'!$B$2:$B$46,MAX(1,MIN(44,IFERROR(MATCH(F161,'Earth curves'!$A$2:$A$46,1),1)))))/(INDEX('Earth curves'!$A$2:$A$46,MAX(1,MIN(44,IFERROR(MATCH(F161,'Earth curves'!$A$2:$A$46,1),1)))+1)-INDEX('Earth curves'!$A$2:$A$46,MAX(1,MIN(44,IFERROR(MATCH(F161,'Earth curves'!$A$2:$A$46,1),1))))))</f>
        <v/>
      </c>
      <c r="R161" s="6">
        <f>(INDEX('Earth curves'!$C$2:$C$46,MAX(1,MIN(44,IFERROR(MATCH(F161,'Earth curves'!$A$2:$A$46,1),1))))+(F161-INDEX('Earth curves'!$A$2:$A$46,MAX(1,MIN(44,IFERROR(MATCH(F161,'Earth curves'!$A$2:$A$46,1),1)))))*(INDEX('Earth curves'!$C$2:$C$46,MAX(1,MIN(44,IFERROR(MATCH(F161,'Earth curves'!$A$2:$A$46,1),1)))+1)-INDEX('Earth curves'!$C$2:$C$46,MAX(1,MIN(44,IFERROR(MATCH(F161,'Earth curves'!$A$2:$A$46,1),1)))))/(INDEX('Earth curves'!$A$2:$A$46,MAX(1,MIN(44,IFERROR(MATCH(F161,'Earth curves'!$A$2:$A$46,1),1)))+1)-INDEX('Earth curves'!$A$2:$A$46,MAX(1,MIN(44,IFERROR(MATCH(F161,'Earth curves'!$A$2:$A$46,1),1))))))</f>
        <v/>
      </c>
      <c r="S161" s="6">
        <f>MEDIAN(0.307692,Q161+MEDIAN(-0.350583,O161+NORMSINV(H161)*0.064828*Config!$B$3,0.120277),0.993846)</f>
        <v/>
      </c>
      <c r="T161" s="10">
        <f>ROUND(Config!$B$7+(Config!$B$8-Config!$B$7)*S161,1)</f>
        <v/>
      </c>
      <c r="U161" s="11" t="n"/>
      <c r="V161" s="10">
        <f>IF(U161="",T161,U161)</f>
        <v/>
      </c>
      <c r="W161" s="6">
        <f>MEDIAN(0.05,R161+MEDIAN(-0.302219,P161+NORMSINV(I161)*0.089531*Config!$B$3,0.274961),0.999)</f>
        <v/>
      </c>
      <c r="X161" s="6">
        <f>(INDEX('Earth curves'!$F$2:$F$46,MAX(1,MIN(44,IFERROR(MATCH(W161,'Earth curves'!$E$2:$E$46,1),1))))+(W161-INDEX('Earth curves'!$E$2:$E$46,MAX(1,MIN(44,IFERROR(MATCH(W161,'Earth curves'!$E$2:$E$46,1),1)))))*(INDEX('Earth curves'!$F$2:$F$46,MAX(1,MIN(44,IFERROR(MATCH(W161,'Earth curves'!$E$2:$E$46,1),1)))+1)-INDEX('Earth curves'!$F$2:$F$46,MAX(1,MIN(44,IFERROR(MATCH(W161,'Earth curves'!$E$2:$E$46,1),1)))))/(INDEX('Earth curves'!$E$2:$E$46,MAX(1,MIN(44,IFERROR(MATCH(W161,'Earth curves'!$E$2:$E$46,1),1)))+1)-INDEX('Earth curves'!$E$2:$E$46,MAX(1,MIN(44,IFERROR(MATCH(W161,'Earth curves'!$E$2:$E$46,1),1))))))</f>
        <v/>
      </c>
      <c r="Y161" s="6">
        <f>(INDEX('Earth curves'!$G$2:$G$46,MAX(1,MIN(44,IFERROR(MATCH(W161,'Earth curves'!$E$2:$E$46,1),1))))+(W161-INDEX('Earth curves'!$E$2:$E$46,MAX(1,MIN(44,IFERROR(MATCH(W161,'Earth curves'!$E$2:$E$46,1),1)))))*(INDEX('Earth curves'!$G$2:$G$46,MAX(1,MIN(44,IFERROR(MATCH(W161,'Earth curves'!$E$2:$E$46,1),1)))+1)-INDEX('Earth curves'!$G$2:$G$46,MAX(1,MIN(44,IFERROR(MATCH(W161,'Earth curves'!$E$2:$E$46,1),1)))))/(INDEX('Earth curves'!$E$2:$E$46,MAX(1,MIN(44,IFERROR(MATCH(W161,'Earth curves'!$E$2:$E$46,1),1)))+1)-INDEX('Earth curves'!$E$2:$E$46,MAX(1,MIN(44,IFERROR(MATCH(W161,'Earth curves'!$E$2:$E$46,1),1))))))</f>
        <v/>
      </c>
      <c r="Z161" s="6">
        <f>(MIN(X161/Config!$B$9,1)+MIN(Y161/Config!$B$10,1))/2</f>
        <v/>
      </c>
      <c r="AA161" s="10">
        <f>ROUND(MIN(22,MAX(3,X161*W161/Z161)),1)</f>
        <v/>
      </c>
      <c r="AB161" s="11" t="n"/>
      <c r="AC161" s="10">
        <f>IF(AB161="",AA161,AB161)</f>
        <v/>
      </c>
      <c r="AD161" s="10">
        <f>ROUND(MIN(Config!$B$10,MAX(1,Y161*W161/Z161)),1)</f>
        <v/>
      </c>
      <c r="AE161" s="11" t="n"/>
      <c r="AF161" s="10">
        <f>IF(AE161="",AD161,AE161)</f>
        <v/>
      </c>
      <c r="AG161" s="9">
        <f>(V161-Config!$B$7)/(Config!$B$8-Config!$B$7)</f>
        <v/>
      </c>
      <c r="AH161" s="9">
        <f>(MIN(AC161/Config!$B$9,1)+MIN(AF161/Config!$B$10,1))/2</f>
        <v/>
      </c>
      <c r="AI161" s="12">
        <f>ROUND((AG161*AH161*G161)^(1/3),3)</f>
        <v/>
      </c>
      <c r="AJ161" s="12" t="n">
        <v>0.787</v>
      </c>
      <c r="AK161" s="13">
        <f>AI161-AJ161</f>
        <v/>
      </c>
      <c r="AL161" s="13">
        <f>AK161-AVERAGE($AK$2:$AK$173)</f>
        <v/>
      </c>
      <c r="AM161" s="6">
        <f>IF(ABS(AL161)&gt;Config!$B$11,"REVIEW","")</f>
        <v/>
      </c>
      <c r="AN161" s="14">
        <f>RANK(AI161,$AI$2:$AI$173)</f>
        <v/>
      </c>
      <c r="AO161" s="14">
        <f>RANK(AJ161,$AJ$2:$AJ$173)</f>
        <v/>
      </c>
      <c r="AP161" s="14" t="n">
        <v>161</v>
      </c>
    </row>
    <row r="162">
      <c r="A162" s="6" t="inlineStr">
        <is>
          <t>Walporein</t>
        </is>
      </c>
      <c r="B162" s="6" t="inlineStr">
        <is>
          <t>New Ayre</t>
        </is>
      </c>
      <c r="C162" s="6" t="inlineStr">
        <is>
          <t>—</t>
        </is>
      </c>
      <c r="D162" s="7" t="n">
        <v>196825</v>
      </c>
      <c r="E162" s="8">
        <f>D162*Config!$B$4</f>
        <v/>
      </c>
      <c r="F162" s="6">
        <f>LN(MAX(60,E162))</f>
        <v/>
      </c>
      <c r="G162" s="9">
        <f>MEDIAN(0,(F162-LN(Config!$B$5))/(LN(Config!$B$6)-LN(Config!$B$5)),1)</f>
        <v/>
      </c>
      <c r="H162" s="6">
        <f>MOD((Config!$B$2+$AP162*7919)*9301+49297,233280)/233280</f>
        <v/>
      </c>
      <c r="I162" s="6">
        <f>MOD((Config!$B$2+$AP162*104729)*4096+150889,714025)/714025</f>
        <v/>
      </c>
      <c r="J162" s="6">
        <f>MOD((Config!$B$2*31+$AP162*15485863)*1366+150889,714025)/714025</f>
        <v/>
      </c>
      <c r="K162" s="6" t="n"/>
      <c r="L162" s="6" t="n"/>
      <c r="M162" s="6">
        <f>COUNTIF(Siblings!$A$2:$A$84,B162)</f>
        <v/>
      </c>
      <c r="N162" s="6">
        <f>1+INT(J162*M162)</f>
        <v/>
      </c>
      <c r="O162" s="6">
        <f>IF(K162&lt;&gt;"",K162,IFERROR(INDEX(Siblings!$D$2:$D$84,MATCH(B162&amp;"|"&amp;N162,Siblings!$F$2:$F$84,0)),0))</f>
        <v/>
      </c>
      <c r="P162" s="6">
        <f>IF(L162&lt;&gt;"",L162,IFERROR(INDEX(Siblings!$E$2:$E$84,MATCH(B162&amp;"|"&amp;N162,Siblings!$F$2:$F$84,0)),0))</f>
        <v/>
      </c>
      <c r="Q162" s="6">
        <f>(INDEX('Earth curves'!$B$2:$B$46,MAX(1,MIN(44,IFERROR(MATCH(F162,'Earth curves'!$A$2:$A$46,1),1))))+(F162-INDEX('Earth curves'!$A$2:$A$46,MAX(1,MIN(44,IFERROR(MATCH(F162,'Earth curves'!$A$2:$A$46,1),1)))))*(INDEX('Earth curves'!$B$2:$B$46,MAX(1,MIN(44,IFERROR(MATCH(F162,'Earth curves'!$A$2:$A$46,1),1)))+1)-INDEX('Earth curves'!$B$2:$B$46,MAX(1,MIN(44,IFERROR(MATCH(F162,'Earth curves'!$A$2:$A$46,1),1)))))/(INDEX('Earth curves'!$A$2:$A$46,MAX(1,MIN(44,IFERROR(MATCH(F162,'Earth curves'!$A$2:$A$46,1),1)))+1)-INDEX('Earth curves'!$A$2:$A$46,MAX(1,MIN(44,IFERROR(MATCH(F162,'Earth curves'!$A$2:$A$46,1),1))))))</f>
        <v/>
      </c>
      <c r="R162" s="6">
        <f>(INDEX('Earth curves'!$C$2:$C$46,MAX(1,MIN(44,IFERROR(MATCH(F162,'Earth curves'!$A$2:$A$46,1),1))))+(F162-INDEX('Earth curves'!$A$2:$A$46,MAX(1,MIN(44,IFERROR(MATCH(F162,'Earth curves'!$A$2:$A$46,1),1)))))*(INDEX('Earth curves'!$C$2:$C$46,MAX(1,MIN(44,IFERROR(MATCH(F162,'Earth curves'!$A$2:$A$46,1),1)))+1)-INDEX('Earth curves'!$C$2:$C$46,MAX(1,MIN(44,IFERROR(MATCH(F162,'Earth curves'!$A$2:$A$46,1),1)))))/(INDEX('Earth curves'!$A$2:$A$46,MAX(1,MIN(44,IFERROR(MATCH(F162,'Earth curves'!$A$2:$A$46,1),1)))+1)-INDEX('Earth curves'!$A$2:$A$46,MAX(1,MIN(44,IFERROR(MATCH(F162,'Earth curves'!$A$2:$A$46,1),1))))))</f>
        <v/>
      </c>
      <c r="S162" s="6">
        <f>MEDIAN(0.307692,Q162+MEDIAN(-0.350583,O162+NORMSINV(H162)*0.064828*Config!$B$3,0.120277),0.993846)</f>
        <v/>
      </c>
      <c r="T162" s="10">
        <f>ROUND(Config!$B$7+(Config!$B$8-Config!$B$7)*S162,1)</f>
        <v/>
      </c>
      <c r="U162" s="11" t="n"/>
      <c r="V162" s="10">
        <f>IF(U162="",T162,U162)</f>
        <v/>
      </c>
      <c r="W162" s="6">
        <f>MEDIAN(0.05,R162+MEDIAN(-0.302219,P162+NORMSINV(I162)*0.089531*Config!$B$3,0.274961),0.999)</f>
        <v/>
      </c>
      <c r="X162" s="6">
        <f>(INDEX('Earth curves'!$F$2:$F$46,MAX(1,MIN(44,IFERROR(MATCH(W162,'Earth curves'!$E$2:$E$46,1),1))))+(W162-INDEX('Earth curves'!$E$2:$E$46,MAX(1,MIN(44,IFERROR(MATCH(W162,'Earth curves'!$E$2:$E$46,1),1)))))*(INDEX('Earth curves'!$F$2:$F$46,MAX(1,MIN(44,IFERROR(MATCH(W162,'Earth curves'!$E$2:$E$46,1),1)))+1)-INDEX('Earth curves'!$F$2:$F$46,MAX(1,MIN(44,IFERROR(MATCH(W162,'Earth curves'!$E$2:$E$46,1),1)))))/(INDEX('Earth curves'!$E$2:$E$46,MAX(1,MIN(44,IFERROR(MATCH(W162,'Earth curves'!$E$2:$E$46,1),1)))+1)-INDEX('Earth curves'!$E$2:$E$46,MAX(1,MIN(44,IFERROR(MATCH(W162,'Earth curves'!$E$2:$E$46,1),1))))))</f>
        <v/>
      </c>
      <c r="Y162" s="6">
        <f>(INDEX('Earth curves'!$G$2:$G$46,MAX(1,MIN(44,IFERROR(MATCH(W162,'Earth curves'!$E$2:$E$46,1),1))))+(W162-INDEX('Earth curves'!$E$2:$E$46,MAX(1,MIN(44,IFERROR(MATCH(W162,'Earth curves'!$E$2:$E$46,1),1)))))*(INDEX('Earth curves'!$G$2:$G$46,MAX(1,MIN(44,IFERROR(MATCH(W162,'Earth curves'!$E$2:$E$46,1),1)))+1)-INDEX('Earth curves'!$G$2:$G$46,MAX(1,MIN(44,IFERROR(MATCH(W162,'Earth curves'!$E$2:$E$46,1),1)))))/(INDEX('Earth curves'!$E$2:$E$46,MAX(1,MIN(44,IFERROR(MATCH(W162,'Earth curves'!$E$2:$E$46,1),1)))+1)-INDEX('Earth curves'!$E$2:$E$46,MAX(1,MIN(44,IFERROR(MATCH(W162,'Earth curves'!$E$2:$E$46,1),1))))))</f>
        <v/>
      </c>
      <c r="Z162" s="6">
        <f>(MIN(X162/Config!$B$9,1)+MIN(Y162/Config!$B$10,1))/2</f>
        <v/>
      </c>
      <c r="AA162" s="10">
        <f>ROUND(MIN(22,MAX(3,X162*W162/Z162)),1)</f>
        <v/>
      </c>
      <c r="AB162" s="11" t="n"/>
      <c r="AC162" s="10">
        <f>IF(AB162="",AA162,AB162)</f>
        <v/>
      </c>
      <c r="AD162" s="10">
        <f>ROUND(MIN(Config!$B$10,MAX(1,Y162*W162/Z162)),1)</f>
        <v/>
      </c>
      <c r="AE162" s="11" t="n"/>
      <c r="AF162" s="10">
        <f>IF(AE162="",AD162,AE162)</f>
        <v/>
      </c>
      <c r="AG162" s="9">
        <f>(V162-Config!$B$7)/(Config!$B$8-Config!$B$7)</f>
        <v/>
      </c>
      <c r="AH162" s="9">
        <f>(MIN(AC162/Config!$B$9,1)+MIN(AF162/Config!$B$10,1))/2</f>
        <v/>
      </c>
      <c r="AI162" s="12">
        <f>ROUND((AG162*AH162*G162)^(1/3),3)</f>
        <v/>
      </c>
      <c r="AJ162" s="12" t="n">
        <v>0.892</v>
      </c>
      <c r="AK162" s="13">
        <f>AI162-AJ162</f>
        <v/>
      </c>
      <c r="AL162" s="13">
        <f>AK162-AVERAGE($AK$2:$AK$173)</f>
        <v/>
      </c>
      <c r="AM162" s="6">
        <f>IF(ABS(AL162)&gt;Config!$B$11,"REVIEW","")</f>
        <v/>
      </c>
      <c r="AN162" s="14">
        <f>RANK(AI162,$AI$2:$AI$173)</f>
        <v/>
      </c>
      <c r="AO162" s="14">
        <f>RANK(AJ162,$AJ$2:$AJ$173)</f>
        <v/>
      </c>
      <c r="AP162" s="14" t="n">
        <v>162</v>
      </c>
    </row>
    <row r="163">
      <c r="A163" s="6" t="inlineStr">
        <is>
          <t>Welenu Fana</t>
        </is>
      </c>
      <c r="B163" s="6" t="inlineStr">
        <is>
          <t>Massir</t>
        </is>
      </c>
      <c r="C163" s="6" t="inlineStr">
        <is>
          <t>resource</t>
        </is>
      </c>
      <c r="D163" s="7" t="n">
        <v>1562</v>
      </c>
      <c r="E163" s="8">
        <f>D163*Config!$B$4</f>
        <v/>
      </c>
      <c r="F163" s="6">
        <f>LN(MAX(60,E163))</f>
        <v/>
      </c>
      <c r="G163" s="9">
        <f>MEDIAN(0,(F163-LN(Config!$B$5))/(LN(Config!$B$6)-LN(Config!$B$5)),1)</f>
        <v/>
      </c>
      <c r="H163" s="6">
        <f>MOD((Config!$B$2+$AP163*7919)*9301+49297,233280)/233280</f>
        <v/>
      </c>
      <c r="I163" s="6">
        <f>MOD((Config!$B$2+$AP163*104729)*4096+150889,714025)/714025</f>
        <v/>
      </c>
      <c r="J163" s="6">
        <f>MOD((Config!$B$2*31+$AP163*15485863)*1366+150889,714025)/714025</f>
        <v/>
      </c>
      <c r="K163" s="6" t="n"/>
      <c r="L163" s="6" t="n"/>
      <c r="M163" s="6">
        <f>COUNTIF(Siblings!$A$2:$A$84,B163)</f>
        <v/>
      </c>
      <c r="N163" s="6">
        <f>1+INT(J163*M163)</f>
        <v/>
      </c>
      <c r="O163" s="6">
        <f>IF(K163&lt;&gt;"",K163,IFERROR(INDEX(Siblings!$D$2:$D$84,MATCH(B163&amp;"|"&amp;N163,Siblings!$F$2:$F$84,0)),0))</f>
        <v/>
      </c>
      <c r="P163" s="6">
        <f>IF(L163&lt;&gt;"",L163,IFERROR(INDEX(Siblings!$E$2:$E$84,MATCH(B163&amp;"|"&amp;N163,Siblings!$F$2:$F$84,0)),0))</f>
        <v/>
      </c>
      <c r="Q163" s="6">
        <f>(INDEX('Earth curves'!$B$2:$B$46,MAX(1,MIN(44,IFERROR(MATCH(F163,'Earth curves'!$A$2:$A$46,1),1))))+(F163-INDEX('Earth curves'!$A$2:$A$46,MAX(1,MIN(44,IFERROR(MATCH(F163,'Earth curves'!$A$2:$A$46,1),1)))))*(INDEX('Earth curves'!$B$2:$B$46,MAX(1,MIN(44,IFERROR(MATCH(F163,'Earth curves'!$A$2:$A$46,1),1)))+1)-INDEX('Earth curves'!$B$2:$B$46,MAX(1,MIN(44,IFERROR(MATCH(F163,'Earth curves'!$A$2:$A$46,1),1)))))/(INDEX('Earth curves'!$A$2:$A$46,MAX(1,MIN(44,IFERROR(MATCH(F163,'Earth curves'!$A$2:$A$46,1),1)))+1)-INDEX('Earth curves'!$A$2:$A$46,MAX(1,MIN(44,IFERROR(MATCH(F163,'Earth curves'!$A$2:$A$46,1),1))))))</f>
        <v/>
      </c>
      <c r="R163" s="6">
        <f>(INDEX('Earth curves'!$C$2:$C$46,MAX(1,MIN(44,IFERROR(MATCH(F163,'Earth curves'!$A$2:$A$46,1),1))))+(F163-INDEX('Earth curves'!$A$2:$A$46,MAX(1,MIN(44,IFERROR(MATCH(F163,'Earth curves'!$A$2:$A$46,1),1)))))*(INDEX('Earth curves'!$C$2:$C$46,MAX(1,MIN(44,IFERROR(MATCH(F163,'Earth curves'!$A$2:$A$46,1),1)))+1)-INDEX('Earth curves'!$C$2:$C$46,MAX(1,MIN(44,IFERROR(MATCH(F163,'Earth curves'!$A$2:$A$46,1),1)))))/(INDEX('Earth curves'!$A$2:$A$46,MAX(1,MIN(44,IFERROR(MATCH(F163,'Earth curves'!$A$2:$A$46,1),1)))+1)-INDEX('Earth curves'!$A$2:$A$46,MAX(1,MIN(44,IFERROR(MATCH(F163,'Earth curves'!$A$2:$A$46,1),1))))))</f>
        <v/>
      </c>
      <c r="S163" s="6">
        <f>MEDIAN(0.307692,Q163+MEDIAN(-0.350583,O163+NORMSINV(H163)*0.064828*Config!$B$3,0.120277),0.993846)</f>
        <v/>
      </c>
      <c r="T163" s="10">
        <f>ROUND(Config!$B$7+(Config!$B$8-Config!$B$7)*S163,1)</f>
        <v/>
      </c>
      <c r="U163" s="11" t="n"/>
      <c r="V163" s="10">
        <f>IF(U163="",T163,U163)</f>
        <v/>
      </c>
      <c r="W163" s="6">
        <f>MEDIAN(0.05,R163+MEDIAN(-0.302219,P163+NORMSINV(I163)*0.089531*Config!$B$3,0.274961),0.999)</f>
        <v/>
      </c>
      <c r="X163" s="6">
        <f>(INDEX('Earth curves'!$F$2:$F$46,MAX(1,MIN(44,IFERROR(MATCH(W163,'Earth curves'!$E$2:$E$46,1),1))))+(W163-INDEX('Earth curves'!$E$2:$E$46,MAX(1,MIN(44,IFERROR(MATCH(W163,'Earth curves'!$E$2:$E$46,1),1)))))*(INDEX('Earth curves'!$F$2:$F$46,MAX(1,MIN(44,IFERROR(MATCH(W163,'Earth curves'!$E$2:$E$46,1),1)))+1)-INDEX('Earth curves'!$F$2:$F$46,MAX(1,MIN(44,IFERROR(MATCH(W163,'Earth curves'!$E$2:$E$46,1),1)))))/(INDEX('Earth curves'!$E$2:$E$46,MAX(1,MIN(44,IFERROR(MATCH(W163,'Earth curves'!$E$2:$E$46,1),1)))+1)-INDEX('Earth curves'!$E$2:$E$46,MAX(1,MIN(44,IFERROR(MATCH(W163,'Earth curves'!$E$2:$E$46,1),1))))))</f>
        <v/>
      </c>
      <c r="Y163" s="6">
        <f>(INDEX('Earth curves'!$G$2:$G$46,MAX(1,MIN(44,IFERROR(MATCH(W163,'Earth curves'!$E$2:$E$46,1),1))))+(W163-INDEX('Earth curves'!$E$2:$E$46,MAX(1,MIN(44,IFERROR(MATCH(W163,'Earth curves'!$E$2:$E$46,1),1)))))*(INDEX('Earth curves'!$G$2:$G$46,MAX(1,MIN(44,IFERROR(MATCH(W163,'Earth curves'!$E$2:$E$46,1),1)))+1)-INDEX('Earth curves'!$G$2:$G$46,MAX(1,MIN(44,IFERROR(MATCH(W163,'Earth curves'!$E$2:$E$46,1),1)))))/(INDEX('Earth curves'!$E$2:$E$46,MAX(1,MIN(44,IFERROR(MATCH(W163,'Earth curves'!$E$2:$E$46,1),1)))+1)-INDEX('Earth curves'!$E$2:$E$46,MAX(1,MIN(44,IFERROR(MATCH(W163,'Earth curves'!$E$2:$E$46,1),1))))))</f>
        <v/>
      </c>
      <c r="Z163" s="6">
        <f>(MIN(X163/Config!$B$9,1)+MIN(Y163/Config!$B$10,1))/2</f>
        <v/>
      </c>
      <c r="AA163" s="10">
        <f>ROUND(MIN(22,MAX(3,X163*W163/Z163)),1)</f>
        <v/>
      </c>
      <c r="AB163" s="11" t="n"/>
      <c r="AC163" s="10">
        <f>IF(AB163="",AA163,AB163)</f>
        <v/>
      </c>
      <c r="AD163" s="10">
        <f>ROUND(MIN(Config!$B$10,MAX(1,Y163*W163/Z163)),1)</f>
        <v/>
      </c>
      <c r="AE163" s="11" t="n"/>
      <c r="AF163" s="10">
        <f>IF(AE163="",AD163,AE163)</f>
        <v/>
      </c>
      <c r="AG163" s="9">
        <f>(V163-Config!$B$7)/(Config!$B$8-Config!$B$7)</f>
        <v/>
      </c>
      <c r="AH163" s="9">
        <f>(MIN(AC163/Config!$B$9,1)+MIN(AF163/Config!$B$10,1))/2</f>
        <v/>
      </c>
      <c r="AI163" s="12">
        <f>ROUND((AG163*AH163*G163)^(1/3),3)</f>
        <v/>
      </c>
      <c r="AJ163" s="12" t="n">
        <v>0.414</v>
      </c>
      <c r="AK163" s="13">
        <f>AI163-AJ163</f>
        <v/>
      </c>
      <c r="AL163" s="13">
        <f>AK163-AVERAGE($AK$2:$AK$173)</f>
        <v/>
      </c>
      <c r="AM163" s="6">
        <f>IF(ABS(AL163)&gt;Config!$B$11,"REVIEW","")</f>
        <v/>
      </c>
      <c r="AN163" s="14">
        <f>RANK(AI163,$AI$2:$AI$173)</f>
        <v/>
      </c>
      <c r="AO163" s="14">
        <f>RANK(AJ163,$AJ$2:$AJ$173)</f>
        <v/>
      </c>
      <c r="AP163" s="14" t="n">
        <v>163</v>
      </c>
    </row>
    <row r="164">
      <c r="A164" s="6" t="inlineStr">
        <is>
          <t>Western Migoku</t>
        </is>
      </c>
      <c r="B164" s="6" t="inlineStr">
        <is>
          <t>Massir</t>
        </is>
      </c>
      <c r="C164" s="6" t="inlineStr">
        <is>
          <t>—</t>
        </is>
      </c>
      <c r="D164" s="7" t="n">
        <v>1019</v>
      </c>
      <c r="E164" s="8">
        <f>D164*Config!$B$4</f>
        <v/>
      </c>
      <c r="F164" s="6">
        <f>LN(MAX(60,E164))</f>
        <v/>
      </c>
      <c r="G164" s="9">
        <f>MEDIAN(0,(F164-LN(Config!$B$5))/(LN(Config!$B$6)-LN(Config!$B$5)),1)</f>
        <v/>
      </c>
      <c r="H164" s="6">
        <f>MOD((Config!$B$2+$AP164*7919)*9301+49297,233280)/233280</f>
        <v/>
      </c>
      <c r="I164" s="6">
        <f>MOD((Config!$B$2+$AP164*104729)*4096+150889,714025)/714025</f>
        <v/>
      </c>
      <c r="J164" s="6">
        <f>MOD((Config!$B$2*31+$AP164*15485863)*1366+150889,714025)/714025</f>
        <v/>
      </c>
      <c r="K164" s="6" t="n"/>
      <c r="L164" s="6" t="n"/>
      <c r="M164" s="6">
        <f>COUNTIF(Siblings!$A$2:$A$84,B164)</f>
        <v/>
      </c>
      <c r="N164" s="6">
        <f>1+INT(J164*M164)</f>
        <v/>
      </c>
      <c r="O164" s="6">
        <f>IF(K164&lt;&gt;"",K164,IFERROR(INDEX(Siblings!$D$2:$D$84,MATCH(B164&amp;"|"&amp;N164,Siblings!$F$2:$F$84,0)),0))</f>
        <v/>
      </c>
      <c r="P164" s="6">
        <f>IF(L164&lt;&gt;"",L164,IFERROR(INDEX(Siblings!$E$2:$E$84,MATCH(B164&amp;"|"&amp;N164,Siblings!$F$2:$F$84,0)),0))</f>
        <v/>
      </c>
      <c r="Q164" s="6">
        <f>(INDEX('Earth curves'!$B$2:$B$46,MAX(1,MIN(44,IFERROR(MATCH(F164,'Earth curves'!$A$2:$A$46,1),1))))+(F164-INDEX('Earth curves'!$A$2:$A$46,MAX(1,MIN(44,IFERROR(MATCH(F164,'Earth curves'!$A$2:$A$46,1),1)))))*(INDEX('Earth curves'!$B$2:$B$46,MAX(1,MIN(44,IFERROR(MATCH(F164,'Earth curves'!$A$2:$A$46,1),1)))+1)-INDEX('Earth curves'!$B$2:$B$46,MAX(1,MIN(44,IFERROR(MATCH(F164,'Earth curves'!$A$2:$A$46,1),1)))))/(INDEX('Earth curves'!$A$2:$A$46,MAX(1,MIN(44,IFERROR(MATCH(F164,'Earth curves'!$A$2:$A$46,1),1)))+1)-INDEX('Earth curves'!$A$2:$A$46,MAX(1,MIN(44,IFERROR(MATCH(F164,'Earth curves'!$A$2:$A$46,1),1))))))</f>
        <v/>
      </c>
      <c r="R164" s="6">
        <f>(INDEX('Earth curves'!$C$2:$C$46,MAX(1,MIN(44,IFERROR(MATCH(F164,'Earth curves'!$A$2:$A$46,1),1))))+(F164-INDEX('Earth curves'!$A$2:$A$46,MAX(1,MIN(44,IFERROR(MATCH(F164,'Earth curves'!$A$2:$A$46,1),1)))))*(INDEX('Earth curves'!$C$2:$C$46,MAX(1,MIN(44,IFERROR(MATCH(F164,'Earth curves'!$A$2:$A$46,1),1)))+1)-INDEX('Earth curves'!$C$2:$C$46,MAX(1,MIN(44,IFERROR(MATCH(F164,'Earth curves'!$A$2:$A$46,1),1)))))/(INDEX('Earth curves'!$A$2:$A$46,MAX(1,MIN(44,IFERROR(MATCH(F164,'Earth curves'!$A$2:$A$46,1),1)))+1)-INDEX('Earth curves'!$A$2:$A$46,MAX(1,MIN(44,IFERROR(MATCH(F164,'Earth curves'!$A$2:$A$46,1),1))))))</f>
        <v/>
      </c>
      <c r="S164" s="6">
        <f>MEDIAN(0.307692,Q164+MEDIAN(-0.350583,O164+NORMSINV(H164)*0.064828*Config!$B$3,0.120277),0.993846)</f>
        <v/>
      </c>
      <c r="T164" s="10">
        <f>ROUND(Config!$B$7+(Config!$B$8-Config!$B$7)*S164,1)</f>
        <v/>
      </c>
      <c r="U164" s="11" t="n"/>
      <c r="V164" s="10">
        <f>IF(U164="",T164,U164)</f>
        <v/>
      </c>
      <c r="W164" s="6">
        <f>MEDIAN(0.05,R164+MEDIAN(-0.302219,P164+NORMSINV(I164)*0.089531*Config!$B$3,0.274961),0.999)</f>
        <v/>
      </c>
      <c r="X164" s="6">
        <f>(INDEX('Earth curves'!$F$2:$F$46,MAX(1,MIN(44,IFERROR(MATCH(W164,'Earth curves'!$E$2:$E$46,1),1))))+(W164-INDEX('Earth curves'!$E$2:$E$46,MAX(1,MIN(44,IFERROR(MATCH(W164,'Earth curves'!$E$2:$E$46,1),1)))))*(INDEX('Earth curves'!$F$2:$F$46,MAX(1,MIN(44,IFERROR(MATCH(W164,'Earth curves'!$E$2:$E$46,1),1)))+1)-INDEX('Earth curves'!$F$2:$F$46,MAX(1,MIN(44,IFERROR(MATCH(W164,'Earth curves'!$E$2:$E$46,1),1)))))/(INDEX('Earth curves'!$E$2:$E$46,MAX(1,MIN(44,IFERROR(MATCH(W164,'Earth curves'!$E$2:$E$46,1),1)))+1)-INDEX('Earth curves'!$E$2:$E$46,MAX(1,MIN(44,IFERROR(MATCH(W164,'Earth curves'!$E$2:$E$46,1),1))))))</f>
        <v/>
      </c>
      <c r="Y164" s="6">
        <f>(INDEX('Earth curves'!$G$2:$G$46,MAX(1,MIN(44,IFERROR(MATCH(W164,'Earth curves'!$E$2:$E$46,1),1))))+(W164-INDEX('Earth curves'!$E$2:$E$46,MAX(1,MIN(44,IFERROR(MATCH(W164,'Earth curves'!$E$2:$E$46,1),1)))))*(INDEX('Earth curves'!$G$2:$G$46,MAX(1,MIN(44,IFERROR(MATCH(W164,'Earth curves'!$E$2:$E$46,1),1)))+1)-INDEX('Earth curves'!$G$2:$G$46,MAX(1,MIN(44,IFERROR(MATCH(W164,'Earth curves'!$E$2:$E$46,1),1)))))/(INDEX('Earth curves'!$E$2:$E$46,MAX(1,MIN(44,IFERROR(MATCH(W164,'Earth curves'!$E$2:$E$46,1),1)))+1)-INDEX('Earth curves'!$E$2:$E$46,MAX(1,MIN(44,IFERROR(MATCH(W164,'Earth curves'!$E$2:$E$46,1),1))))))</f>
        <v/>
      </c>
      <c r="Z164" s="6">
        <f>(MIN(X164/Config!$B$9,1)+MIN(Y164/Config!$B$10,1))/2</f>
        <v/>
      </c>
      <c r="AA164" s="10">
        <f>ROUND(MIN(22,MAX(3,X164*W164/Z164)),1)</f>
        <v/>
      </c>
      <c r="AB164" s="11" t="n"/>
      <c r="AC164" s="10">
        <f>IF(AB164="",AA164,AB164)</f>
        <v/>
      </c>
      <c r="AD164" s="10">
        <f>ROUND(MIN(Config!$B$10,MAX(1,Y164*W164/Z164)),1)</f>
        <v/>
      </c>
      <c r="AE164" s="11" t="n"/>
      <c r="AF164" s="10">
        <f>IF(AE164="",AD164,AE164)</f>
        <v/>
      </c>
      <c r="AG164" s="9">
        <f>(V164-Config!$B$7)/(Config!$B$8-Config!$B$7)</f>
        <v/>
      </c>
      <c r="AH164" s="9">
        <f>(MIN(AC164/Config!$B$9,1)+MIN(AF164/Config!$B$10,1))/2</f>
        <v/>
      </c>
      <c r="AI164" s="12">
        <f>ROUND((AG164*AH164*G164)^(1/3),3)</f>
        <v/>
      </c>
      <c r="AJ164" s="12" t="n">
        <v>0.393</v>
      </c>
      <c r="AK164" s="13">
        <f>AI164-AJ164</f>
        <v/>
      </c>
      <c r="AL164" s="13">
        <f>AK164-AVERAGE($AK$2:$AK$173)</f>
        <v/>
      </c>
      <c r="AM164" s="6">
        <f>IF(ABS(AL164)&gt;Config!$B$11,"REVIEW","")</f>
        <v/>
      </c>
      <c r="AN164" s="14">
        <f>RANK(AI164,$AI$2:$AI$173)</f>
        <v/>
      </c>
      <c r="AO164" s="14">
        <f>RANK(AJ164,$AJ$2:$AJ$173)</f>
        <v/>
      </c>
      <c r="AP164" s="14" t="n">
        <v>164</v>
      </c>
    </row>
    <row r="165">
      <c r="A165" s="6" t="inlineStr">
        <is>
          <t>Wundry</t>
        </is>
      </c>
      <c r="B165" s="6" t="inlineStr">
        <is>
          <t>Quia</t>
        </is>
      </c>
      <c r="C165" s="6" t="inlineStr">
        <is>
          <t>resource</t>
        </is>
      </c>
      <c r="D165" s="7" t="n">
        <v>17810</v>
      </c>
      <c r="E165" s="8">
        <f>D165*Config!$B$4</f>
        <v/>
      </c>
      <c r="F165" s="6">
        <f>LN(MAX(60,E165))</f>
        <v/>
      </c>
      <c r="G165" s="9">
        <f>MEDIAN(0,(F165-LN(Config!$B$5))/(LN(Config!$B$6)-LN(Config!$B$5)),1)</f>
        <v/>
      </c>
      <c r="H165" s="6">
        <f>MOD((Config!$B$2+$AP165*7919)*9301+49297,233280)/233280</f>
        <v/>
      </c>
      <c r="I165" s="6">
        <f>MOD((Config!$B$2+$AP165*104729)*4096+150889,714025)/714025</f>
        <v/>
      </c>
      <c r="J165" s="6">
        <f>MOD((Config!$B$2*31+$AP165*15485863)*1366+150889,714025)/714025</f>
        <v/>
      </c>
      <c r="K165" s="6" t="n">
        <v>0.002918</v>
      </c>
      <c r="L165" s="6" t="n">
        <v>-0.161319</v>
      </c>
      <c r="M165" s="6">
        <f>COUNTIF(Siblings!$A$2:$A$84,B165)</f>
        <v/>
      </c>
      <c r="N165" s="6">
        <f>1+INT(J165*M165)</f>
        <v/>
      </c>
      <c r="O165" s="6">
        <f>IF(K165&lt;&gt;"",K165,IFERROR(INDEX(Siblings!$D$2:$D$84,MATCH(B165&amp;"|"&amp;N165,Siblings!$F$2:$F$84,0)),0))</f>
        <v/>
      </c>
      <c r="P165" s="6">
        <f>IF(L165&lt;&gt;"",L165,IFERROR(INDEX(Siblings!$E$2:$E$84,MATCH(B165&amp;"|"&amp;N165,Siblings!$F$2:$F$84,0)),0))</f>
        <v/>
      </c>
      <c r="Q165" s="6">
        <f>(INDEX('Earth curves'!$B$2:$B$46,MAX(1,MIN(44,IFERROR(MATCH(F165,'Earth curves'!$A$2:$A$46,1),1))))+(F165-INDEX('Earth curves'!$A$2:$A$46,MAX(1,MIN(44,IFERROR(MATCH(F165,'Earth curves'!$A$2:$A$46,1),1)))))*(INDEX('Earth curves'!$B$2:$B$46,MAX(1,MIN(44,IFERROR(MATCH(F165,'Earth curves'!$A$2:$A$46,1),1)))+1)-INDEX('Earth curves'!$B$2:$B$46,MAX(1,MIN(44,IFERROR(MATCH(F165,'Earth curves'!$A$2:$A$46,1),1)))))/(INDEX('Earth curves'!$A$2:$A$46,MAX(1,MIN(44,IFERROR(MATCH(F165,'Earth curves'!$A$2:$A$46,1),1)))+1)-INDEX('Earth curves'!$A$2:$A$46,MAX(1,MIN(44,IFERROR(MATCH(F165,'Earth curves'!$A$2:$A$46,1),1))))))</f>
        <v/>
      </c>
      <c r="R165" s="6">
        <f>(INDEX('Earth curves'!$C$2:$C$46,MAX(1,MIN(44,IFERROR(MATCH(F165,'Earth curves'!$A$2:$A$46,1),1))))+(F165-INDEX('Earth curves'!$A$2:$A$46,MAX(1,MIN(44,IFERROR(MATCH(F165,'Earth curves'!$A$2:$A$46,1),1)))))*(INDEX('Earth curves'!$C$2:$C$46,MAX(1,MIN(44,IFERROR(MATCH(F165,'Earth curves'!$A$2:$A$46,1),1)))+1)-INDEX('Earth curves'!$C$2:$C$46,MAX(1,MIN(44,IFERROR(MATCH(F165,'Earth curves'!$A$2:$A$46,1),1)))))/(INDEX('Earth curves'!$A$2:$A$46,MAX(1,MIN(44,IFERROR(MATCH(F165,'Earth curves'!$A$2:$A$46,1),1)))+1)-INDEX('Earth curves'!$A$2:$A$46,MAX(1,MIN(44,IFERROR(MATCH(F165,'Earth curves'!$A$2:$A$46,1),1))))))</f>
        <v/>
      </c>
      <c r="S165" s="6">
        <f>MEDIAN(0.307692,Q165+MEDIAN(-0.350583,O165+NORMSINV(H165)*0.064828*Config!$B$3,0.120277),0.993846)</f>
        <v/>
      </c>
      <c r="T165" s="10">
        <f>ROUND(Config!$B$7+(Config!$B$8-Config!$B$7)*S165,1)</f>
        <v/>
      </c>
      <c r="U165" s="11" t="n"/>
      <c r="V165" s="10">
        <f>IF(U165="",T165,U165)</f>
        <v/>
      </c>
      <c r="W165" s="6">
        <f>MEDIAN(0.05,R165+MEDIAN(-0.302219,P165+NORMSINV(I165)*0.089531*Config!$B$3,0.274961),0.999)</f>
        <v/>
      </c>
      <c r="X165" s="6">
        <f>(INDEX('Earth curves'!$F$2:$F$46,MAX(1,MIN(44,IFERROR(MATCH(W165,'Earth curves'!$E$2:$E$46,1),1))))+(W165-INDEX('Earth curves'!$E$2:$E$46,MAX(1,MIN(44,IFERROR(MATCH(W165,'Earth curves'!$E$2:$E$46,1),1)))))*(INDEX('Earth curves'!$F$2:$F$46,MAX(1,MIN(44,IFERROR(MATCH(W165,'Earth curves'!$E$2:$E$46,1),1)))+1)-INDEX('Earth curves'!$F$2:$F$46,MAX(1,MIN(44,IFERROR(MATCH(W165,'Earth curves'!$E$2:$E$46,1),1)))))/(INDEX('Earth curves'!$E$2:$E$46,MAX(1,MIN(44,IFERROR(MATCH(W165,'Earth curves'!$E$2:$E$46,1),1)))+1)-INDEX('Earth curves'!$E$2:$E$46,MAX(1,MIN(44,IFERROR(MATCH(W165,'Earth curves'!$E$2:$E$46,1),1))))))</f>
        <v/>
      </c>
      <c r="Y165" s="6">
        <f>(INDEX('Earth curves'!$G$2:$G$46,MAX(1,MIN(44,IFERROR(MATCH(W165,'Earth curves'!$E$2:$E$46,1),1))))+(W165-INDEX('Earth curves'!$E$2:$E$46,MAX(1,MIN(44,IFERROR(MATCH(W165,'Earth curves'!$E$2:$E$46,1),1)))))*(INDEX('Earth curves'!$G$2:$G$46,MAX(1,MIN(44,IFERROR(MATCH(W165,'Earth curves'!$E$2:$E$46,1),1)))+1)-INDEX('Earth curves'!$G$2:$G$46,MAX(1,MIN(44,IFERROR(MATCH(W165,'Earth curves'!$E$2:$E$46,1),1)))))/(INDEX('Earth curves'!$E$2:$E$46,MAX(1,MIN(44,IFERROR(MATCH(W165,'Earth curves'!$E$2:$E$46,1),1)))+1)-INDEX('Earth curves'!$E$2:$E$46,MAX(1,MIN(44,IFERROR(MATCH(W165,'Earth curves'!$E$2:$E$46,1),1))))))</f>
        <v/>
      </c>
      <c r="Z165" s="6">
        <f>(MIN(X165/Config!$B$9,1)+MIN(Y165/Config!$B$10,1))/2</f>
        <v/>
      </c>
      <c r="AA165" s="10">
        <f>ROUND(MIN(22,MAX(3,X165*W165/Z165)),1)</f>
        <v/>
      </c>
      <c r="AB165" s="11" t="n"/>
      <c r="AC165" s="10">
        <f>IF(AB165="",AA165,AB165)</f>
        <v/>
      </c>
      <c r="AD165" s="10">
        <f>ROUND(MIN(Config!$B$10,MAX(1,Y165*W165/Z165)),1)</f>
        <v/>
      </c>
      <c r="AE165" s="11" t="n"/>
      <c r="AF165" s="10">
        <f>IF(AE165="",AD165,AE165)</f>
        <v/>
      </c>
      <c r="AG165" s="9">
        <f>(V165-Config!$B$7)/(Config!$B$8-Config!$B$7)</f>
        <v/>
      </c>
      <c r="AH165" s="9">
        <f>(MIN(AC165/Config!$B$9,1)+MIN(AF165/Config!$B$10,1))/2</f>
        <v/>
      </c>
      <c r="AI165" s="12">
        <f>ROUND((AG165*AH165*G165)^(1/3),3)</f>
        <v/>
      </c>
      <c r="AJ165" s="12" t="n">
        <v>0.534</v>
      </c>
      <c r="AK165" s="13">
        <f>AI165-AJ165</f>
        <v/>
      </c>
      <c r="AL165" s="13">
        <f>AK165-AVERAGE($AK$2:$AK$173)</f>
        <v/>
      </c>
      <c r="AM165" s="6">
        <f>IF(ABS(AL165)&gt;Config!$B$11,"REVIEW","")</f>
        <v/>
      </c>
      <c r="AN165" s="14">
        <f>RANK(AI165,$AI$2:$AI$173)</f>
        <v/>
      </c>
      <c r="AO165" s="14">
        <f>RANK(AJ165,$AJ$2:$AJ$173)</f>
        <v/>
      </c>
      <c r="AP165" s="14" t="n">
        <v>165</v>
      </c>
    </row>
    <row r="166">
      <c r="A166" s="6" t="inlineStr">
        <is>
          <t>Yaxuto</t>
        </is>
      </c>
      <c r="B166" s="6" t="inlineStr">
        <is>
          <t>Ayuma</t>
        </is>
      </c>
      <c r="C166" s="6" t="inlineStr">
        <is>
          <t>resource</t>
        </is>
      </c>
      <c r="D166" s="7" t="n">
        <v>147937</v>
      </c>
      <c r="E166" s="8">
        <f>D166*Config!$B$4</f>
        <v/>
      </c>
      <c r="F166" s="6">
        <f>LN(MAX(60,E166))</f>
        <v/>
      </c>
      <c r="G166" s="9">
        <f>MEDIAN(0,(F166-LN(Config!$B$5))/(LN(Config!$B$6)-LN(Config!$B$5)),1)</f>
        <v/>
      </c>
      <c r="H166" s="6">
        <f>MOD((Config!$B$2+$AP166*7919)*9301+49297,233280)/233280</f>
        <v/>
      </c>
      <c r="I166" s="6">
        <f>MOD((Config!$B$2+$AP166*104729)*4096+150889,714025)/714025</f>
        <v/>
      </c>
      <c r="J166" s="6">
        <f>MOD((Config!$B$2*31+$AP166*15485863)*1366+150889,714025)/714025</f>
        <v/>
      </c>
      <c r="K166" s="6" t="n">
        <v>0.042283</v>
      </c>
      <c r="L166" s="6" t="n">
        <v>-0.041733</v>
      </c>
      <c r="M166" s="6">
        <f>COUNTIF(Siblings!$A$2:$A$84,B166)</f>
        <v/>
      </c>
      <c r="N166" s="6">
        <f>1+INT(J166*M166)</f>
        <v/>
      </c>
      <c r="O166" s="6">
        <f>IF(K166&lt;&gt;"",K166,IFERROR(INDEX(Siblings!$D$2:$D$84,MATCH(B166&amp;"|"&amp;N166,Siblings!$F$2:$F$84,0)),0))</f>
        <v/>
      </c>
      <c r="P166" s="6">
        <f>IF(L166&lt;&gt;"",L166,IFERROR(INDEX(Siblings!$E$2:$E$84,MATCH(B166&amp;"|"&amp;N166,Siblings!$F$2:$F$84,0)),0))</f>
        <v/>
      </c>
      <c r="Q166" s="6">
        <f>(INDEX('Earth curves'!$B$2:$B$46,MAX(1,MIN(44,IFERROR(MATCH(F166,'Earth curves'!$A$2:$A$46,1),1))))+(F166-INDEX('Earth curves'!$A$2:$A$46,MAX(1,MIN(44,IFERROR(MATCH(F166,'Earth curves'!$A$2:$A$46,1),1)))))*(INDEX('Earth curves'!$B$2:$B$46,MAX(1,MIN(44,IFERROR(MATCH(F166,'Earth curves'!$A$2:$A$46,1),1)))+1)-INDEX('Earth curves'!$B$2:$B$46,MAX(1,MIN(44,IFERROR(MATCH(F166,'Earth curves'!$A$2:$A$46,1),1)))))/(INDEX('Earth curves'!$A$2:$A$46,MAX(1,MIN(44,IFERROR(MATCH(F166,'Earth curves'!$A$2:$A$46,1),1)))+1)-INDEX('Earth curves'!$A$2:$A$46,MAX(1,MIN(44,IFERROR(MATCH(F166,'Earth curves'!$A$2:$A$46,1),1))))))</f>
        <v/>
      </c>
      <c r="R166" s="6">
        <f>(INDEX('Earth curves'!$C$2:$C$46,MAX(1,MIN(44,IFERROR(MATCH(F166,'Earth curves'!$A$2:$A$46,1),1))))+(F166-INDEX('Earth curves'!$A$2:$A$46,MAX(1,MIN(44,IFERROR(MATCH(F166,'Earth curves'!$A$2:$A$46,1),1)))))*(INDEX('Earth curves'!$C$2:$C$46,MAX(1,MIN(44,IFERROR(MATCH(F166,'Earth curves'!$A$2:$A$46,1),1)))+1)-INDEX('Earth curves'!$C$2:$C$46,MAX(1,MIN(44,IFERROR(MATCH(F166,'Earth curves'!$A$2:$A$46,1),1)))))/(INDEX('Earth curves'!$A$2:$A$46,MAX(1,MIN(44,IFERROR(MATCH(F166,'Earth curves'!$A$2:$A$46,1),1)))+1)-INDEX('Earth curves'!$A$2:$A$46,MAX(1,MIN(44,IFERROR(MATCH(F166,'Earth curves'!$A$2:$A$46,1),1))))))</f>
        <v/>
      </c>
      <c r="S166" s="6">
        <f>MEDIAN(0.307692,Q166+MEDIAN(-0.350583,O166+NORMSINV(H166)*0.064828*Config!$B$3,0.120277),0.993846)</f>
        <v/>
      </c>
      <c r="T166" s="10">
        <f>ROUND(Config!$B$7+(Config!$B$8-Config!$B$7)*S166,1)</f>
        <v/>
      </c>
      <c r="U166" s="11" t="n"/>
      <c r="V166" s="10">
        <f>IF(U166="",T166,U166)</f>
        <v/>
      </c>
      <c r="W166" s="6">
        <f>MEDIAN(0.05,R166+MEDIAN(-0.302219,P166+NORMSINV(I166)*0.089531*Config!$B$3,0.274961),0.999)</f>
        <v/>
      </c>
      <c r="X166" s="6">
        <f>(INDEX('Earth curves'!$F$2:$F$46,MAX(1,MIN(44,IFERROR(MATCH(W166,'Earth curves'!$E$2:$E$46,1),1))))+(W166-INDEX('Earth curves'!$E$2:$E$46,MAX(1,MIN(44,IFERROR(MATCH(W166,'Earth curves'!$E$2:$E$46,1),1)))))*(INDEX('Earth curves'!$F$2:$F$46,MAX(1,MIN(44,IFERROR(MATCH(W166,'Earth curves'!$E$2:$E$46,1),1)))+1)-INDEX('Earth curves'!$F$2:$F$46,MAX(1,MIN(44,IFERROR(MATCH(W166,'Earth curves'!$E$2:$E$46,1),1)))))/(INDEX('Earth curves'!$E$2:$E$46,MAX(1,MIN(44,IFERROR(MATCH(W166,'Earth curves'!$E$2:$E$46,1),1)))+1)-INDEX('Earth curves'!$E$2:$E$46,MAX(1,MIN(44,IFERROR(MATCH(W166,'Earth curves'!$E$2:$E$46,1),1))))))</f>
        <v/>
      </c>
      <c r="Y166" s="6">
        <f>(INDEX('Earth curves'!$G$2:$G$46,MAX(1,MIN(44,IFERROR(MATCH(W166,'Earth curves'!$E$2:$E$46,1),1))))+(W166-INDEX('Earth curves'!$E$2:$E$46,MAX(1,MIN(44,IFERROR(MATCH(W166,'Earth curves'!$E$2:$E$46,1),1)))))*(INDEX('Earth curves'!$G$2:$G$46,MAX(1,MIN(44,IFERROR(MATCH(W166,'Earth curves'!$E$2:$E$46,1),1)))+1)-INDEX('Earth curves'!$G$2:$G$46,MAX(1,MIN(44,IFERROR(MATCH(W166,'Earth curves'!$E$2:$E$46,1),1)))))/(INDEX('Earth curves'!$E$2:$E$46,MAX(1,MIN(44,IFERROR(MATCH(W166,'Earth curves'!$E$2:$E$46,1),1)))+1)-INDEX('Earth curves'!$E$2:$E$46,MAX(1,MIN(44,IFERROR(MATCH(W166,'Earth curves'!$E$2:$E$46,1),1))))))</f>
        <v/>
      </c>
      <c r="Z166" s="6">
        <f>(MIN(X166/Config!$B$9,1)+MIN(Y166/Config!$B$10,1))/2</f>
        <v/>
      </c>
      <c r="AA166" s="10">
        <f>ROUND(MIN(22,MAX(3,X166*W166/Z166)),1)</f>
        <v/>
      </c>
      <c r="AB166" s="11" t="n"/>
      <c r="AC166" s="10">
        <f>IF(AB166="",AA166,AB166)</f>
        <v/>
      </c>
      <c r="AD166" s="10">
        <f>ROUND(MIN(Config!$B$10,MAX(1,Y166*W166/Z166)),1)</f>
        <v/>
      </c>
      <c r="AE166" s="11" t="n"/>
      <c r="AF166" s="10">
        <f>IF(AE166="",AD166,AE166)</f>
        <v/>
      </c>
      <c r="AG166" s="9">
        <f>(V166-Config!$B$7)/(Config!$B$8-Config!$B$7)</f>
        <v/>
      </c>
      <c r="AH166" s="9">
        <f>(MIN(AC166/Config!$B$9,1)+MIN(AF166/Config!$B$10,1))/2</f>
        <v/>
      </c>
      <c r="AI166" s="12">
        <f>ROUND((AG166*AH166*G166)^(1/3),3)</f>
        <v/>
      </c>
      <c r="AJ166" s="12" t="n">
        <v>0.902</v>
      </c>
      <c r="AK166" s="13">
        <f>AI166-AJ166</f>
        <v/>
      </c>
      <c r="AL166" s="13">
        <f>AK166-AVERAGE($AK$2:$AK$173)</f>
        <v/>
      </c>
      <c r="AM166" s="6">
        <f>IF(ABS(AL166)&gt;Config!$B$11,"REVIEW","")</f>
        <v/>
      </c>
      <c r="AN166" s="14">
        <f>RANK(AI166,$AI$2:$AI$173)</f>
        <v/>
      </c>
      <c r="AO166" s="14">
        <f>RANK(AJ166,$AJ$2:$AJ$173)</f>
        <v/>
      </c>
      <c r="AP166" s="14" t="n">
        <v>166</v>
      </c>
    </row>
    <row r="167">
      <c r="A167" s="6" t="inlineStr">
        <is>
          <t>Yihnurda</t>
        </is>
      </c>
      <c r="B167" s="6" t="inlineStr">
        <is>
          <t>Quia</t>
        </is>
      </c>
      <c r="C167" s="6" t="inlineStr">
        <is>
          <t>—</t>
        </is>
      </c>
      <c r="D167" s="7" t="n">
        <v>13651</v>
      </c>
      <c r="E167" s="8">
        <f>D167*Config!$B$4</f>
        <v/>
      </c>
      <c r="F167" s="6">
        <f>LN(MAX(60,E167))</f>
        <v/>
      </c>
      <c r="G167" s="9">
        <f>MEDIAN(0,(F167-LN(Config!$B$5))/(LN(Config!$B$6)-LN(Config!$B$5)),1)</f>
        <v/>
      </c>
      <c r="H167" s="6">
        <f>MOD((Config!$B$2+$AP167*7919)*9301+49297,233280)/233280</f>
        <v/>
      </c>
      <c r="I167" s="6">
        <f>MOD((Config!$B$2+$AP167*104729)*4096+150889,714025)/714025</f>
        <v/>
      </c>
      <c r="J167" s="6">
        <f>MOD((Config!$B$2*31+$AP167*15485863)*1366+150889,714025)/714025</f>
        <v/>
      </c>
      <c r="K167" s="6" t="n"/>
      <c r="L167" s="6" t="n"/>
      <c r="M167" s="6">
        <f>COUNTIF(Siblings!$A$2:$A$84,B167)</f>
        <v/>
      </c>
      <c r="N167" s="6">
        <f>1+INT(J167*M167)</f>
        <v/>
      </c>
      <c r="O167" s="6">
        <f>IF(K167&lt;&gt;"",K167,IFERROR(INDEX(Siblings!$D$2:$D$84,MATCH(B167&amp;"|"&amp;N167,Siblings!$F$2:$F$84,0)),0))</f>
        <v/>
      </c>
      <c r="P167" s="6">
        <f>IF(L167&lt;&gt;"",L167,IFERROR(INDEX(Siblings!$E$2:$E$84,MATCH(B167&amp;"|"&amp;N167,Siblings!$F$2:$F$84,0)),0))</f>
        <v/>
      </c>
      <c r="Q167" s="6">
        <f>(INDEX('Earth curves'!$B$2:$B$46,MAX(1,MIN(44,IFERROR(MATCH(F167,'Earth curves'!$A$2:$A$46,1),1))))+(F167-INDEX('Earth curves'!$A$2:$A$46,MAX(1,MIN(44,IFERROR(MATCH(F167,'Earth curves'!$A$2:$A$46,1),1)))))*(INDEX('Earth curves'!$B$2:$B$46,MAX(1,MIN(44,IFERROR(MATCH(F167,'Earth curves'!$A$2:$A$46,1),1)))+1)-INDEX('Earth curves'!$B$2:$B$46,MAX(1,MIN(44,IFERROR(MATCH(F167,'Earth curves'!$A$2:$A$46,1),1)))))/(INDEX('Earth curves'!$A$2:$A$46,MAX(1,MIN(44,IFERROR(MATCH(F167,'Earth curves'!$A$2:$A$46,1),1)))+1)-INDEX('Earth curves'!$A$2:$A$46,MAX(1,MIN(44,IFERROR(MATCH(F167,'Earth curves'!$A$2:$A$46,1),1))))))</f>
        <v/>
      </c>
      <c r="R167" s="6">
        <f>(INDEX('Earth curves'!$C$2:$C$46,MAX(1,MIN(44,IFERROR(MATCH(F167,'Earth curves'!$A$2:$A$46,1),1))))+(F167-INDEX('Earth curves'!$A$2:$A$46,MAX(1,MIN(44,IFERROR(MATCH(F167,'Earth curves'!$A$2:$A$46,1),1)))))*(INDEX('Earth curves'!$C$2:$C$46,MAX(1,MIN(44,IFERROR(MATCH(F167,'Earth curves'!$A$2:$A$46,1),1)))+1)-INDEX('Earth curves'!$C$2:$C$46,MAX(1,MIN(44,IFERROR(MATCH(F167,'Earth curves'!$A$2:$A$46,1),1)))))/(INDEX('Earth curves'!$A$2:$A$46,MAX(1,MIN(44,IFERROR(MATCH(F167,'Earth curves'!$A$2:$A$46,1),1)))+1)-INDEX('Earth curves'!$A$2:$A$46,MAX(1,MIN(44,IFERROR(MATCH(F167,'Earth curves'!$A$2:$A$46,1),1))))))</f>
        <v/>
      </c>
      <c r="S167" s="6">
        <f>MEDIAN(0.307692,Q167+MEDIAN(-0.350583,O167+NORMSINV(H167)*0.064828*Config!$B$3,0.120277),0.993846)</f>
        <v/>
      </c>
      <c r="T167" s="10">
        <f>ROUND(Config!$B$7+(Config!$B$8-Config!$B$7)*S167,1)</f>
        <v/>
      </c>
      <c r="U167" s="11" t="n"/>
      <c r="V167" s="10">
        <f>IF(U167="",T167,U167)</f>
        <v/>
      </c>
      <c r="W167" s="6">
        <f>MEDIAN(0.05,R167+MEDIAN(-0.302219,P167+NORMSINV(I167)*0.089531*Config!$B$3,0.274961),0.999)</f>
        <v/>
      </c>
      <c r="X167" s="6">
        <f>(INDEX('Earth curves'!$F$2:$F$46,MAX(1,MIN(44,IFERROR(MATCH(W167,'Earth curves'!$E$2:$E$46,1),1))))+(W167-INDEX('Earth curves'!$E$2:$E$46,MAX(1,MIN(44,IFERROR(MATCH(W167,'Earth curves'!$E$2:$E$46,1),1)))))*(INDEX('Earth curves'!$F$2:$F$46,MAX(1,MIN(44,IFERROR(MATCH(W167,'Earth curves'!$E$2:$E$46,1),1)))+1)-INDEX('Earth curves'!$F$2:$F$46,MAX(1,MIN(44,IFERROR(MATCH(W167,'Earth curves'!$E$2:$E$46,1),1)))))/(INDEX('Earth curves'!$E$2:$E$46,MAX(1,MIN(44,IFERROR(MATCH(W167,'Earth curves'!$E$2:$E$46,1),1)))+1)-INDEX('Earth curves'!$E$2:$E$46,MAX(1,MIN(44,IFERROR(MATCH(W167,'Earth curves'!$E$2:$E$46,1),1))))))</f>
        <v/>
      </c>
      <c r="Y167" s="6">
        <f>(INDEX('Earth curves'!$G$2:$G$46,MAX(1,MIN(44,IFERROR(MATCH(W167,'Earth curves'!$E$2:$E$46,1),1))))+(W167-INDEX('Earth curves'!$E$2:$E$46,MAX(1,MIN(44,IFERROR(MATCH(W167,'Earth curves'!$E$2:$E$46,1),1)))))*(INDEX('Earth curves'!$G$2:$G$46,MAX(1,MIN(44,IFERROR(MATCH(W167,'Earth curves'!$E$2:$E$46,1),1)))+1)-INDEX('Earth curves'!$G$2:$G$46,MAX(1,MIN(44,IFERROR(MATCH(W167,'Earth curves'!$E$2:$E$46,1),1)))))/(INDEX('Earth curves'!$E$2:$E$46,MAX(1,MIN(44,IFERROR(MATCH(W167,'Earth curves'!$E$2:$E$46,1),1)))+1)-INDEX('Earth curves'!$E$2:$E$46,MAX(1,MIN(44,IFERROR(MATCH(W167,'Earth curves'!$E$2:$E$46,1),1))))))</f>
        <v/>
      </c>
      <c r="Z167" s="6">
        <f>(MIN(X167/Config!$B$9,1)+MIN(Y167/Config!$B$10,1))/2</f>
        <v/>
      </c>
      <c r="AA167" s="10">
        <f>ROUND(MIN(22,MAX(3,X167*W167/Z167)),1)</f>
        <v/>
      </c>
      <c r="AB167" s="11" t="n"/>
      <c r="AC167" s="10">
        <f>IF(AB167="",AA167,AB167)</f>
        <v/>
      </c>
      <c r="AD167" s="10">
        <f>ROUND(MIN(Config!$B$10,MAX(1,Y167*W167/Z167)),1)</f>
        <v/>
      </c>
      <c r="AE167" s="11" t="n"/>
      <c r="AF167" s="10">
        <f>IF(AE167="",AD167,AE167)</f>
        <v/>
      </c>
      <c r="AG167" s="9">
        <f>(V167-Config!$B$7)/(Config!$B$8-Config!$B$7)</f>
        <v/>
      </c>
      <c r="AH167" s="9">
        <f>(MIN(AC167/Config!$B$9,1)+MIN(AF167/Config!$B$10,1))/2</f>
        <v/>
      </c>
      <c r="AI167" s="12">
        <f>ROUND((AG167*AH167*G167)^(1/3),3)</f>
        <v/>
      </c>
      <c r="AJ167" s="12" t="n">
        <v>0.618</v>
      </c>
      <c r="AK167" s="13">
        <f>AI167-AJ167</f>
        <v/>
      </c>
      <c r="AL167" s="13">
        <f>AK167-AVERAGE($AK$2:$AK$173)</f>
        <v/>
      </c>
      <c r="AM167" s="6">
        <f>IF(ABS(AL167)&gt;Config!$B$11,"REVIEW","")</f>
        <v/>
      </c>
      <c r="AN167" s="14">
        <f>RANK(AI167,$AI$2:$AI$173)</f>
        <v/>
      </c>
      <c r="AO167" s="14">
        <f>RANK(AJ167,$AJ$2:$AJ$173)</f>
        <v/>
      </c>
      <c r="AP167" s="14" t="n">
        <v>167</v>
      </c>
    </row>
    <row r="168">
      <c r="A168" s="6" t="inlineStr">
        <is>
          <t>Yoprioq</t>
        </is>
      </c>
      <c r="B168" s="6" t="inlineStr">
        <is>
          <t>Acrola</t>
        </is>
      </c>
      <c r="C168" s="6" t="inlineStr">
        <is>
          <t>—</t>
        </is>
      </c>
      <c r="D168" s="7" t="n">
        <v>1270</v>
      </c>
      <c r="E168" s="8">
        <f>D168*Config!$B$4</f>
        <v/>
      </c>
      <c r="F168" s="6">
        <f>LN(MAX(60,E168))</f>
        <v/>
      </c>
      <c r="G168" s="9">
        <f>MEDIAN(0,(F168-LN(Config!$B$5))/(LN(Config!$B$6)-LN(Config!$B$5)),1)</f>
        <v/>
      </c>
      <c r="H168" s="6">
        <f>MOD((Config!$B$2+$AP168*7919)*9301+49297,233280)/233280</f>
        <v/>
      </c>
      <c r="I168" s="6">
        <f>MOD((Config!$B$2+$AP168*104729)*4096+150889,714025)/714025</f>
        <v/>
      </c>
      <c r="J168" s="6">
        <f>MOD((Config!$B$2*31+$AP168*15485863)*1366+150889,714025)/714025</f>
        <v/>
      </c>
      <c r="K168" s="6" t="n"/>
      <c r="L168" s="6" t="n"/>
      <c r="M168" s="6">
        <f>COUNTIF(Siblings!$A$2:$A$84,B168)</f>
        <v/>
      </c>
      <c r="N168" s="6">
        <f>1+INT(J168*M168)</f>
        <v/>
      </c>
      <c r="O168" s="6">
        <f>IF(K168&lt;&gt;"",K168,IFERROR(INDEX(Siblings!$D$2:$D$84,MATCH(B168&amp;"|"&amp;N168,Siblings!$F$2:$F$84,0)),0))</f>
        <v/>
      </c>
      <c r="P168" s="6">
        <f>IF(L168&lt;&gt;"",L168,IFERROR(INDEX(Siblings!$E$2:$E$84,MATCH(B168&amp;"|"&amp;N168,Siblings!$F$2:$F$84,0)),0))</f>
        <v/>
      </c>
      <c r="Q168" s="6">
        <f>(INDEX('Earth curves'!$B$2:$B$46,MAX(1,MIN(44,IFERROR(MATCH(F168,'Earth curves'!$A$2:$A$46,1),1))))+(F168-INDEX('Earth curves'!$A$2:$A$46,MAX(1,MIN(44,IFERROR(MATCH(F168,'Earth curves'!$A$2:$A$46,1),1)))))*(INDEX('Earth curves'!$B$2:$B$46,MAX(1,MIN(44,IFERROR(MATCH(F168,'Earth curves'!$A$2:$A$46,1),1)))+1)-INDEX('Earth curves'!$B$2:$B$46,MAX(1,MIN(44,IFERROR(MATCH(F168,'Earth curves'!$A$2:$A$46,1),1)))))/(INDEX('Earth curves'!$A$2:$A$46,MAX(1,MIN(44,IFERROR(MATCH(F168,'Earth curves'!$A$2:$A$46,1),1)))+1)-INDEX('Earth curves'!$A$2:$A$46,MAX(1,MIN(44,IFERROR(MATCH(F168,'Earth curves'!$A$2:$A$46,1),1))))))</f>
        <v/>
      </c>
      <c r="R168" s="6">
        <f>(INDEX('Earth curves'!$C$2:$C$46,MAX(1,MIN(44,IFERROR(MATCH(F168,'Earth curves'!$A$2:$A$46,1),1))))+(F168-INDEX('Earth curves'!$A$2:$A$46,MAX(1,MIN(44,IFERROR(MATCH(F168,'Earth curves'!$A$2:$A$46,1),1)))))*(INDEX('Earth curves'!$C$2:$C$46,MAX(1,MIN(44,IFERROR(MATCH(F168,'Earth curves'!$A$2:$A$46,1),1)))+1)-INDEX('Earth curves'!$C$2:$C$46,MAX(1,MIN(44,IFERROR(MATCH(F168,'Earth curves'!$A$2:$A$46,1),1)))))/(INDEX('Earth curves'!$A$2:$A$46,MAX(1,MIN(44,IFERROR(MATCH(F168,'Earth curves'!$A$2:$A$46,1),1)))+1)-INDEX('Earth curves'!$A$2:$A$46,MAX(1,MIN(44,IFERROR(MATCH(F168,'Earth curves'!$A$2:$A$46,1),1))))))</f>
        <v/>
      </c>
      <c r="S168" s="6">
        <f>MEDIAN(0.307692,Q168+MEDIAN(-0.350583,O168+NORMSINV(H168)*0.064828*Config!$B$3,0.120277),0.993846)</f>
        <v/>
      </c>
      <c r="T168" s="10">
        <f>ROUND(Config!$B$7+(Config!$B$8-Config!$B$7)*S168,1)</f>
        <v/>
      </c>
      <c r="U168" s="11" t="n"/>
      <c r="V168" s="10">
        <f>IF(U168="",T168,U168)</f>
        <v/>
      </c>
      <c r="W168" s="6">
        <f>MEDIAN(0.05,R168+MEDIAN(-0.302219,P168+NORMSINV(I168)*0.089531*Config!$B$3,0.274961),0.999)</f>
        <v/>
      </c>
      <c r="X168" s="6">
        <f>(INDEX('Earth curves'!$F$2:$F$46,MAX(1,MIN(44,IFERROR(MATCH(W168,'Earth curves'!$E$2:$E$46,1),1))))+(W168-INDEX('Earth curves'!$E$2:$E$46,MAX(1,MIN(44,IFERROR(MATCH(W168,'Earth curves'!$E$2:$E$46,1),1)))))*(INDEX('Earth curves'!$F$2:$F$46,MAX(1,MIN(44,IFERROR(MATCH(W168,'Earth curves'!$E$2:$E$46,1),1)))+1)-INDEX('Earth curves'!$F$2:$F$46,MAX(1,MIN(44,IFERROR(MATCH(W168,'Earth curves'!$E$2:$E$46,1),1)))))/(INDEX('Earth curves'!$E$2:$E$46,MAX(1,MIN(44,IFERROR(MATCH(W168,'Earth curves'!$E$2:$E$46,1),1)))+1)-INDEX('Earth curves'!$E$2:$E$46,MAX(1,MIN(44,IFERROR(MATCH(W168,'Earth curves'!$E$2:$E$46,1),1))))))</f>
        <v/>
      </c>
      <c r="Y168" s="6">
        <f>(INDEX('Earth curves'!$G$2:$G$46,MAX(1,MIN(44,IFERROR(MATCH(W168,'Earth curves'!$E$2:$E$46,1),1))))+(W168-INDEX('Earth curves'!$E$2:$E$46,MAX(1,MIN(44,IFERROR(MATCH(W168,'Earth curves'!$E$2:$E$46,1),1)))))*(INDEX('Earth curves'!$G$2:$G$46,MAX(1,MIN(44,IFERROR(MATCH(W168,'Earth curves'!$E$2:$E$46,1),1)))+1)-INDEX('Earth curves'!$G$2:$G$46,MAX(1,MIN(44,IFERROR(MATCH(W168,'Earth curves'!$E$2:$E$46,1),1)))))/(INDEX('Earth curves'!$E$2:$E$46,MAX(1,MIN(44,IFERROR(MATCH(W168,'Earth curves'!$E$2:$E$46,1),1)))+1)-INDEX('Earth curves'!$E$2:$E$46,MAX(1,MIN(44,IFERROR(MATCH(W168,'Earth curves'!$E$2:$E$46,1),1))))))</f>
        <v/>
      </c>
      <c r="Z168" s="6">
        <f>(MIN(X168/Config!$B$9,1)+MIN(Y168/Config!$B$10,1))/2</f>
        <v/>
      </c>
      <c r="AA168" s="10">
        <f>ROUND(MIN(22,MAX(3,X168*W168/Z168)),1)</f>
        <v/>
      </c>
      <c r="AB168" s="11" t="n"/>
      <c r="AC168" s="10">
        <f>IF(AB168="",AA168,AB168)</f>
        <v/>
      </c>
      <c r="AD168" s="10">
        <f>ROUND(MIN(Config!$B$10,MAX(1,Y168*W168/Z168)),1)</f>
        <v/>
      </c>
      <c r="AE168" s="11" t="n"/>
      <c r="AF168" s="10">
        <f>IF(AE168="",AD168,AE168)</f>
        <v/>
      </c>
      <c r="AG168" s="9">
        <f>(V168-Config!$B$7)/(Config!$B$8-Config!$B$7)</f>
        <v/>
      </c>
      <c r="AH168" s="9">
        <f>(MIN(AC168/Config!$B$9,1)+MIN(AF168/Config!$B$10,1))/2</f>
        <v/>
      </c>
      <c r="AI168" s="12">
        <f>ROUND((AG168*AH168*G168)^(1/3),3)</f>
        <v/>
      </c>
      <c r="AJ168" s="12" t="n">
        <v>0.445</v>
      </c>
      <c r="AK168" s="13">
        <f>AI168-AJ168</f>
        <v/>
      </c>
      <c r="AL168" s="13">
        <f>AK168-AVERAGE($AK$2:$AK$173)</f>
        <v/>
      </c>
      <c r="AM168" s="6">
        <f>IF(ABS(AL168)&gt;Config!$B$11,"REVIEW","")</f>
        <v/>
      </c>
      <c r="AN168" s="14">
        <f>RANK(AI168,$AI$2:$AI$173)</f>
        <v/>
      </c>
      <c r="AO168" s="14">
        <f>RANK(AJ168,$AJ$2:$AJ$173)</f>
        <v/>
      </c>
      <c r="AP168" s="14" t="n">
        <v>168</v>
      </c>
    </row>
    <row r="169">
      <c r="A169" s="6" t="inlineStr">
        <is>
          <t>Yutnitu</t>
        </is>
      </c>
      <c r="B169" s="6" t="inlineStr">
        <is>
          <t>New Ayre</t>
        </is>
      </c>
      <c r="C169" s="6" t="inlineStr">
        <is>
          <t>—</t>
        </is>
      </c>
      <c r="D169" s="7" t="n">
        <v>147937</v>
      </c>
      <c r="E169" s="8">
        <f>D169*Config!$B$4</f>
        <v/>
      </c>
      <c r="F169" s="6">
        <f>LN(MAX(60,E169))</f>
        <v/>
      </c>
      <c r="G169" s="9">
        <f>MEDIAN(0,(F169-LN(Config!$B$5))/(LN(Config!$B$6)-LN(Config!$B$5)),1)</f>
        <v/>
      </c>
      <c r="H169" s="6">
        <f>MOD((Config!$B$2+$AP169*7919)*9301+49297,233280)/233280</f>
        <v/>
      </c>
      <c r="I169" s="6">
        <f>MOD((Config!$B$2+$AP169*104729)*4096+150889,714025)/714025</f>
        <v/>
      </c>
      <c r="J169" s="6">
        <f>MOD((Config!$B$2*31+$AP169*15485863)*1366+150889,714025)/714025</f>
        <v/>
      </c>
      <c r="K169" s="6" t="n"/>
      <c r="L169" s="6" t="n"/>
      <c r="M169" s="6">
        <f>COUNTIF(Siblings!$A$2:$A$84,B169)</f>
        <v/>
      </c>
      <c r="N169" s="6">
        <f>1+INT(J169*M169)</f>
        <v/>
      </c>
      <c r="O169" s="6">
        <f>IF(K169&lt;&gt;"",K169,IFERROR(INDEX(Siblings!$D$2:$D$84,MATCH(B169&amp;"|"&amp;N169,Siblings!$F$2:$F$84,0)),0))</f>
        <v/>
      </c>
      <c r="P169" s="6">
        <f>IF(L169&lt;&gt;"",L169,IFERROR(INDEX(Siblings!$E$2:$E$84,MATCH(B169&amp;"|"&amp;N169,Siblings!$F$2:$F$84,0)),0))</f>
        <v/>
      </c>
      <c r="Q169" s="6">
        <f>(INDEX('Earth curves'!$B$2:$B$46,MAX(1,MIN(44,IFERROR(MATCH(F169,'Earth curves'!$A$2:$A$46,1),1))))+(F169-INDEX('Earth curves'!$A$2:$A$46,MAX(1,MIN(44,IFERROR(MATCH(F169,'Earth curves'!$A$2:$A$46,1),1)))))*(INDEX('Earth curves'!$B$2:$B$46,MAX(1,MIN(44,IFERROR(MATCH(F169,'Earth curves'!$A$2:$A$46,1),1)))+1)-INDEX('Earth curves'!$B$2:$B$46,MAX(1,MIN(44,IFERROR(MATCH(F169,'Earth curves'!$A$2:$A$46,1),1)))))/(INDEX('Earth curves'!$A$2:$A$46,MAX(1,MIN(44,IFERROR(MATCH(F169,'Earth curves'!$A$2:$A$46,1),1)))+1)-INDEX('Earth curves'!$A$2:$A$46,MAX(1,MIN(44,IFERROR(MATCH(F169,'Earth curves'!$A$2:$A$46,1),1))))))</f>
        <v/>
      </c>
      <c r="R169" s="6">
        <f>(INDEX('Earth curves'!$C$2:$C$46,MAX(1,MIN(44,IFERROR(MATCH(F169,'Earth curves'!$A$2:$A$46,1),1))))+(F169-INDEX('Earth curves'!$A$2:$A$46,MAX(1,MIN(44,IFERROR(MATCH(F169,'Earth curves'!$A$2:$A$46,1),1)))))*(INDEX('Earth curves'!$C$2:$C$46,MAX(1,MIN(44,IFERROR(MATCH(F169,'Earth curves'!$A$2:$A$46,1),1)))+1)-INDEX('Earth curves'!$C$2:$C$46,MAX(1,MIN(44,IFERROR(MATCH(F169,'Earth curves'!$A$2:$A$46,1),1)))))/(INDEX('Earth curves'!$A$2:$A$46,MAX(1,MIN(44,IFERROR(MATCH(F169,'Earth curves'!$A$2:$A$46,1),1)))+1)-INDEX('Earth curves'!$A$2:$A$46,MAX(1,MIN(44,IFERROR(MATCH(F169,'Earth curves'!$A$2:$A$46,1),1))))))</f>
        <v/>
      </c>
      <c r="S169" s="6">
        <f>MEDIAN(0.307692,Q169+MEDIAN(-0.350583,O169+NORMSINV(H169)*0.064828*Config!$B$3,0.120277),0.993846)</f>
        <v/>
      </c>
      <c r="T169" s="10">
        <f>ROUND(Config!$B$7+(Config!$B$8-Config!$B$7)*S169,1)</f>
        <v/>
      </c>
      <c r="U169" s="11" t="n"/>
      <c r="V169" s="10">
        <f>IF(U169="",T169,U169)</f>
        <v/>
      </c>
      <c r="W169" s="6">
        <f>MEDIAN(0.05,R169+MEDIAN(-0.302219,P169+NORMSINV(I169)*0.089531*Config!$B$3,0.274961),0.999)</f>
        <v/>
      </c>
      <c r="X169" s="6">
        <f>(INDEX('Earth curves'!$F$2:$F$46,MAX(1,MIN(44,IFERROR(MATCH(W169,'Earth curves'!$E$2:$E$46,1),1))))+(W169-INDEX('Earth curves'!$E$2:$E$46,MAX(1,MIN(44,IFERROR(MATCH(W169,'Earth curves'!$E$2:$E$46,1),1)))))*(INDEX('Earth curves'!$F$2:$F$46,MAX(1,MIN(44,IFERROR(MATCH(W169,'Earth curves'!$E$2:$E$46,1),1)))+1)-INDEX('Earth curves'!$F$2:$F$46,MAX(1,MIN(44,IFERROR(MATCH(W169,'Earth curves'!$E$2:$E$46,1),1)))))/(INDEX('Earth curves'!$E$2:$E$46,MAX(1,MIN(44,IFERROR(MATCH(W169,'Earth curves'!$E$2:$E$46,1),1)))+1)-INDEX('Earth curves'!$E$2:$E$46,MAX(1,MIN(44,IFERROR(MATCH(W169,'Earth curves'!$E$2:$E$46,1),1))))))</f>
        <v/>
      </c>
      <c r="Y169" s="6">
        <f>(INDEX('Earth curves'!$G$2:$G$46,MAX(1,MIN(44,IFERROR(MATCH(W169,'Earth curves'!$E$2:$E$46,1),1))))+(W169-INDEX('Earth curves'!$E$2:$E$46,MAX(1,MIN(44,IFERROR(MATCH(W169,'Earth curves'!$E$2:$E$46,1),1)))))*(INDEX('Earth curves'!$G$2:$G$46,MAX(1,MIN(44,IFERROR(MATCH(W169,'Earth curves'!$E$2:$E$46,1),1)))+1)-INDEX('Earth curves'!$G$2:$G$46,MAX(1,MIN(44,IFERROR(MATCH(W169,'Earth curves'!$E$2:$E$46,1),1)))))/(INDEX('Earth curves'!$E$2:$E$46,MAX(1,MIN(44,IFERROR(MATCH(W169,'Earth curves'!$E$2:$E$46,1),1)))+1)-INDEX('Earth curves'!$E$2:$E$46,MAX(1,MIN(44,IFERROR(MATCH(W169,'Earth curves'!$E$2:$E$46,1),1))))))</f>
        <v/>
      </c>
      <c r="Z169" s="6">
        <f>(MIN(X169/Config!$B$9,1)+MIN(Y169/Config!$B$10,1))/2</f>
        <v/>
      </c>
      <c r="AA169" s="10">
        <f>ROUND(MIN(22,MAX(3,X169*W169/Z169)),1)</f>
        <v/>
      </c>
      <c r="AB169" s="11" t="n"/>
      <c r="AC169" s="10">
        <f>IF(AB169="",AA169,AB169)</f>
        <v/>
      </c>
      <c r="AD169" s="10">
        <f>ROUND(MIN(Config!$B$10,MAX(1,Y169*W169/Z169)),1)</f>
        <v/>
      </c>
      <c r="AE169" s="11" t="n"/>
      <c r="AF169" s="10">
        <f>IF(AE169="",AD169,AE169)</f>
        <v/>
      </c>
      <c r="AG169" s="9">
        <f>(V169-Config!$B$7)/(Config!$B$8-Config!$B$7)</f>
        <v/>
      </c>
      <c r="AH169" s="9">
        <f>(MIN(AC169/Config!$B$9,1)+MIN(AF169/Config!$B$10,1))/2</f>
        <v/>
      </c>
      <c r="AI169" s="12">
        <f>ROUND((AG169*AH169*G169)^(1/3),3)</f>
        <v/>
      </c>
      <c r="AJ169" s="12" t="n">
        <v>0.871</v>
      </c>
      <c r="AK169" s="13">
        <f>AI169-AJ169</f>
        <v/>
      </c>
      <c r="AL169" s="13">
        <f>AK169-AVERAGE($AK$2:$AK$173)</f>
        <v/>
      </c>
      <c r="AM169" s="6">
        <f>IF(ABS(AL169)&gt;Config!$B$11,"REVIEW","")</f>
        <v/>
      </c>
      <c r="AN169" s="14">
        <f>RANK(AI169,$AI$2:$AI$173)</f>
        <v/>
      </c>
      <c r="AO169" s="14">
        <f>RANK(AJ169,$AJ$2:$AJ$173)</f>
        <v/>
      </c>
      <c r="AP169" s="14" t="n">
        <v>169</v>
      </c>
    </row>
    <row r="170">
      <c r="A170" s="6" t="inlineStr">
        <is>
          <t>Zenashan</t>
        </is>
      </c>
      <c r="B170" s="6" t="inlineStr">
        <is>
          <t>Ayuma</t>
        </is>
      </c>
      <c r="C170" s="6" t="inlineStr">
        <is>
          <t>militarised, resource</t>
        </is>
      </c>
      <c r="D170" s="7" t="n">
        <v>23175</v>
      </c>
      <c r="E170" s="8">
        <f>D170*Config!$B$4</f>
        <v/>
      </c>
      <c r="F170" s="6">
        <f>LN(MAX(60,E170))</f>
        <v/>
      </c>
      <c r="G170" s="9">
        <f>MEDIAN(0,(F170-LN(Config!$B$5))/(LN(Config!$B$6)-LN(Config!$B$5)),1)</f>
        <v/>
      </c>
      <c r="H170" s="6">
        <f>MOD((Config!$B$2+$AP170*7919)*9301+49297,233280)/233280</f>
        <v/>
      </c>
      <c r="I170" s="6">
        <f>MOD((Config!$B$2+$AP170*104729)*4096+150889,714025)/714025</f>
        <v/>
      </c>
      <c r="J170" s="6">
        <f>MOD((Config!$B$2*31+$AP170*15485863)*1366+150889,714025)/714025</f>
        <v/>
      </c>
      <c r="K170" s="6" t="n">
        <v>0.093486</v>
      </c>
      <c r="L170" s="6" t="n">
        <v>-0.031532</v>
      </c>
      <c r="M170" s="6">
        <f>COUNTIF(Siblings!$A$2:$A$84,B170)</f>
        <v/>
      </c>
      <c r="N170" s="6">
        <f>1+INT(J170*M170)</f>
        <v/>
      </c>
      <c r="O170" s="6">
        <f>IF(K170&lt;&gt;"",K170,IFERROR(INDEX(Siblings!$D$2:$D$84,MATCH(B170&amp;"|"&amp;N170,Siblings!$F$2:$F$84,0)),0))</f>
        <v/>
      </c>
      <c r="P170" s="6">
        <f>IF(L170&lt;&gt;"",L170,IFERROR(INDEX(Siblings!$E$2:$E$84,MATCH(B170&amp;"|"&amp;N170,Siblings!$F$2:$F$84,0)),0))</f>
        <v/>
      </c>
      <c r="Q170" s="6">
        <f>(INDEX('Earth curves'!$B$2:$B$46,MAX(1,MIN(44,IFERROR(MATCH(F170,'Earth curves'!$A$2:$A$46,1),1))))+(F170-INDEX('Earth curves'!$A$2:$A$46,MAX(1,MIN(44,IFERROR(MATCH(F170,'Earth curves'!$A$2:$A$46,1),1)))))*(INDEX('Earth curves'!$B$2:$B$46,MAX(1,MIN(44,IFERROR(MATCH(F170,'Earth curves'!$A$2:$A$46,1),1)))+1)-INDEX('Earth curves'!$B$2:$B$46,MAX(1,MIN(44,IFERROR(MATCH(F170,'Earth curves'!$A$2:$A$46,1),1)))))/(INDEX('Earth curves'!$A$2:$A$46,MAX(1,MIN(44,IFERROR(MATCH(F170,'Earth curves'!$A$2:$A$46,1),1)))+1)-INDEX('Earth curves'!$A$2:$A$46,MAX(1,MIN(44,IFERROR(MATCH(F170,'Earth curves'!$A$2:$A$46,1),1))))))</f>
        <v/>
      </c>
      <c r="R170" s="6">
        <f>(INDEX('Earth curves'!$C$2:$C$46,MAX(1,MIN(44,IFERROR(MATCH(F170,'Earth curves'!$A$2:$A$46,1),1))))+(F170-INDEX('Earth curves'!$A$2:$A$46,MAX(1,MIN(44,IFERROR(MATCH(F170,'Earth curves'!$A$2:$A$46,1),1)))))*(INDEX('Earth curves'!$C$2:$C$46,MAX(1,MIN(44,IFERROR(MATCH(F170,'Earth curves'!$A$2:$A$46,1),1)))+1)-INDEX('Earth curves'!$C$2:$C$46,MAX(1,MIN(44,IFERROR(MATCH(F170,'Earth curves'!$A$2:$A$46,1),1)))))/(INDEX('Earth curves'!$A$2:$A$46,MAX(1,MIN(44,IFERROR(MATCH(F170,'Earth curves'!$A$2:$A$46,1),1)))+1)-INDEX('Earth curves'!$A$2:$A$46,MAX(1,MIN(44,IFERROR(MATCH(F170,'Earth curves'!$A$2:$A$46,1),1))))))</f>
        <v/>
      </c>
      <c r="S170" s="6">
        <f>MEDIAN(0.307692,Q170+MEDIAN(-0.350583,O170+NORMSINV(H170)*0.064828*Config!$B$3,0.120277),0.993846)</f>
        <v/>
      </c>
      <c r="T170" s="10">
        <f>ROUND(Config!$B$7+(Config!$B$8-Config!$B$7)*S170,1)</f>
        <v/>
      </c>
      <c r="U170" s="11" t="n"/>
      <c r="V170" s="10">
        <f>IF(U170="",T170,U170)</f>
        <v/>
      </c>
      <c r="W170" s="6">
        <f>MEDIAN(0.05,R170+MEDIAN(-0.302219,P170+NORMSINV(I170)*0.089531*Config!$B$3,0.274961),0.999)</f>
        <v/>
      </c>
      <c r="X170" s="6">
        <f>(INDEX('Earth curves'!$F$2:$F$46,MAX(1,MIN(44,IFERROR(MATCH(W170,'Earth curves'!$E$2:$E$46,1),1))))+(W170-INDEX('Earth curves'!$E$2:$E$46,MAX(1,MIN(44,IFERROR(MATCH(W170,'Earth curves'!$E$2:$E$46,1),1)))))*(INDEX('Earth curves'!$F$2:$F$46,MAX(1,MIN(44,IFERROR(MATCH(W170,'Earth curves'!$E$2:$E$46,1),1)))+1)-INDEX('Earth curves'!$F$2:$F$46,MAX(1,MIN(44,IFERROR(MATCH(W170,'Earth curves'!$E$2:$E$46,1),1)))))/(INDEX('Earth curves'!$E$2:$E$46,MAX(1,MIN(44,IFERROR(MATCH(W170,'Earth curves'!$E$2:$E$46,1),1)))+1)-INDEX('Earth curves'!$E$2:$E$46,MAX(1,MIN(44,IFERROR(MATCH(W170,'Earth curves'!$E$2:$E$46,1),1))))))</f>
        <v/>
      </c>
      <c r="Y170" s="6">
        <f>(INDEX('Earth curves'!$G$2:$G$46,MAX(1,MIN(44,IFERROR(MATCH(W170,'Earth curves'!$E$2:$E$46,1),1))))+(W170-INDEX('Earth curves'!$E$2:$E$46,MAX(1,MIN(44,IFERROR(MATCH(W170,'Earth curves'!$E$2:$E$46,1),1)))))*(INDEX('Earth curves'!$G$2:$G$46,MAX(1,MIN(44,IFERROR(MATCH(W170,'Earth curves'!$E$2:$E$46,1),1)))+1)-INDEX('Earth curves'!$G$2:$G$46,MAX(1,MIN(44,IFERROR(MATCH(W170,'Earth curves'!$E$2:$E$46,1),1)))))/(INDEX('Earth curves'!$E$2:$E$46,MAX(1,MIN(44,IFERROR(MATCH(W170,'Earth curves'!$E$2:$E$46,1),1)))+1)-INDEX('Earth curves'!$E$2:$E$46,MAX(1,MIN(44,IFERROR(MATCH(W170,'Earth curves'!$E$2:$E$46,1),1))))))</f>
        <v/>
      </c>
      <c r="Z170" s="6">
        <f>(MIN(X170/Config!$B$9,1)+MIN(Y170/Config!$B$10,1))/2</f>
        <v/>
      </c>
      <c r="AA170" s="10">
        <f>ROUND(MIN(22,MAX(3,X170*W170/Z170)),1)</f>
        <v/>
      </c>
      <c r="AB170" s="11" t="n"/>
      <c r="AC170" s="10">
        <f>IF(AB170="",AA170,AB170)</f>
        <v/>
      </c>
      <c r="AD170" s="10">
        <f>ROUND(MIN(Config!$B$10,MAX(1,Y170*W170/Z170)),1)</f>
        <v/>
      </c>
      <c r="AE170" s="11" t="n"/>
      <c r="AF170" s="10">
        <f>IF(AE170="",AD170,AE170)</f>
        <v/>
      </c>
      <c r="AG170" s="9">
        <f>(V170-Config!$B$7)/(Config!$B$8-Config!$B$7)</f>
        <v/>
      </c>
      <c r="AH170" s="9">
        <f>(MIN(AC170/Config!$B$9,1)+MIN(AF170/Config!$B$10,1))/2</f>
        <v/>
      </c>
      <c r="AI170" s="12">
        <f>ROUND((AG170*AH170*G170)^(1/3),3)</f>
        <v/>
      </c>
      <c r="AJ170" s="12" t="n">
        <v>0.729</v>
      </c>
      <c r="AK170" s="13">
        <f>AI170-AJ170</f>
        <v/>
      </c>
      <c r="AL170" s="13">
        <f>AK170-AVERAGE($AK$2:$AK$173)</f>
        <v/>
      </c>
      <c r="AM170" s="6">
        <f>IF(ABS(AL170)&gt;Config!$B$11,"REVIEW","")</f>
        <v/>
      </c>
      <c r="AN170" s="14">
        <f>RANK(AI170,$AI$2:$AI$173)</f>
        <v/>
      </c>
      <c r="AO170" s="14">
        <f>RANK(AJ170,$AJ$2:$AJ$173)</f>
        <v/>
      </c>
      <c r="AP170" s="14" t="n">
        <v>170</v>
      </c>
    </row>
    <row r="171">
      <c r="A171" s="6" t="inlineStr">
        <is>
          <t>Zhanshe</t>
        </is>
      </c>
      <c r="B171" s="6" t="inlineStr">
        <is>
          <t>Quia</t>
        </is>
      </c>
      <c r="C171" s="6" t="inlineStr">
        <is>
          <t>resource</t>
        </is>
      </c>
      <c r="D171" s="7" t="n">
        <v>2825</v>
      </c>
      <c r="E171" s="8">
        <f>D171*Config!$B$4</f>
        <v/>
      </c>
      <c r="F171" s="6">
        <f>LN(MAX(60,E171))</f>
        <v/>
      </c>
      <c r="G171" s="9">
        <f>MEDIAN(0,(F171-LN(Config!$B$5))/(LN(Config!$B$6)-LN(Config!$B$5)),1)</f>
        <v/>
      </c>
      <c r="H171" s="6">
        <f>MOD((Config!$B$2+$AP171*7919)*9301+49297,233280)/233280</f>
        <v/>
      </c>
      <c r="I171" s="6">
        <f>MOD((Config!$B$2+$AP171*104729)*4096+150889,714025)/714025</f>
        <v/>
      </c>
      <c r="J171" s="6">
        <f>MOD((Config!$B$2*31+$AP171*15485863)*1366+150889,714025)/714025</f>
        <v/>
      </c>
      <c r="K171" s="6" t="n"/>
      <c r="L171" s="6" t="n"/>
      <c r="M171" s="6">
        <f>COUNTIF(Siblings!$A$2:$A$84,B171)</f>
        <v/>
      </c>
      <c r="N171" s="6">
        <f>1+INT(J171*M171)</f>
        <v/>
      </c>
      <c r="O171" s="6">
        <f>IF(K171&lt;&gt;"",K171,IFERROR(INDEX(Siblings!$D$2:$D$84,MATCH(B171&amp;"|"&amp;N171,Siblings!$F$2:$F$84,0)),0))</f>
        <v/>
      </c>
      <c r="P171" s="6">
        <f>IF(L171&lt;&gt;"",L171,IFERROR(INDEX(Siblings!$E$2:$E$84,MATCH(B171&amp;"|"&amp;N171,Siblings!$F$2:$F$84,0)),0))</f>
        <v/>
      </c>
      <c r="Q171" s="6">
        <f>(INDEX('Earth curves'!$B$2:$B$46,MAX(1,MIN(44,IFERROR(MATCH(F171,'Earth curves'!$A$2:$A$46,1),1))))+(F171-INDEX('Earth curves'!$A$2:$A$46,MAX(1,MIN(44,IFERROR(MATCH(F171,'Earth curves'!$A$2:$A$46,1),1)))))*(INDEX('Earth curves'!$B$2:$B$46,MAX(1,MIN(44,IFERROR(MATCH(F171,'Earth curves'!$A$2:$A$46,1),1)))+1)-INDEX('Earth curves'!$B$2:$B$46,MAX(1,MIN(44,IFERROR(MATCH(F171,'Earth curves'!$A$2:$A$46,1),1)))))/(INDEX('Earth curves'!$A$2:$A$46,MAX(1,MIN(44,IFERROR(MATCH(F171,'Earth curves'!$A$2:$A$46,1),1)))+1)-INDEX('Earth curves'!$A$2:$A$46,MAX(1,MIN(44,IFERROR(MATCH(F171,'Earth curves'!$A$2:$A$46,1),1))))))</f>
        <v/>
      </c>
      <c r="R171" s="6">
        <f>(INDEX('Earth curves'!$C$2:$C$46,MAX(1,MIN(44,IFERROR(MATCH(F171,'Earth curves'!$A$2:$A$46,1),1))))+(F171-INDEX('Earth curves'!$A$2:$A$46,MAX(1,MIN(44,IFERROR(MATCH(F171,'Earth curves'!$A$2:$A$46,1),1)))))*(INDEX('Earth curves'!$C$2:$C$46,MAX(1,MIN(44,IFERROR(MATCH(F171,'Earth curves'!$A$2:$A$46,1),1)))+1)-INDEX('Earth curves'!$C$2:$C$46,MAX(1,MIN(44,IFERROR(MATCH(F171,'Earth curves'!$A$2:$A$46,1),1)))))/(INDEX('Earth curves'!$A$2:$A$46,MAX(1,MIN(44,IFERROR(MATCH(F171,'Earth curves'!$A$2:$A$46,1),1)))+1)-INDEX('Earth curves'!$A$2:$A$46,MAX(1,MIN(44,IFERROR(MATCH(F171,'Earth curves'!$A$2:$A$46,1),1))))))</f>
        <v/>
      </c>
      <c r="S171" s="6">
        <f>MEDIAN(0.307692,Q171+MEDIAN(-0.350583,O171+NORMSINV(H171)*0.064828*Config!$B$3,0.120277),0.993846)</f>
        <v/>
      </c>
      <c r="T171" s="10">
        <f>ROUND(Config!$B$7+(Config!$B$8-Config!$B$7)*S171,1)</f>
        <v/>
      </c>
      <c r="U171" s="11" t="n"/>
      <c r="V171" s="10">
        <f>IF(U171="",T171,U171)</f>
        <v/>
      </c>
      <c r="W171" s="6">
        <f>MEDIAN(0.05,R171+MEDIAN(-0.302219,P171+NORMSINV(I171)*0.089531*Config!$B$3,0.274961),0.999)</f>
        <v/>
      </c>
      <c r="X171" s="6">
        <f>(INDEX('Earth curves'!$F$2:$F$46,MAX(1,MIN(44,IFERROR(MATCH(W171,'Earth curves'!$E$2:$E$46,1),1))))+(W171-INDEX('Earth curves'!$E$2:$E$46,MAX(1,MIN(44,IFERROR(MATCH(W171,'Earth curves'!$E$2:$E$46,1),1)))))*(INDEX('Earth curves'!$F$2:$F$46,MAX(1,MIN(44,IFERROR(MATCH(W171,'Earth curves'!$E$2:$E$46,1),1)))+1)-INDEX('Earth curves'!$F$2:$F$46,MAX(1,MIN(44,IFERROR(MATCH(W171,'Earth curves'!$E$2:$E$46,1),1)))))/(INDEX('Earth curves'!$E$2:$E$46,MAX(1,MIN(44,IFERROR(MATCH(W171,'Earth curves'!$E$2:$E$46,1),1)))+1)-INDEX('Earth curves'!$E$2:$E$46,MAX(1,MIN(44,IFERROR(MATCH(W171,'Earth curves'!$E$2:$E$46,1),1))))))</f>
        <v/>
      </c>
      <c r="Y171" s="6">
        <f>(INDEX('Earth curves'!$G$2:$G$46,MAX(1,MIN(44,IFERROR(MATCH(W171,'Earth curves'!$E$2:$E$46,1),1))))+(W171-INDEX('Earth curves'!$E$2:$E$46,MAX(1,MIN(44,IFERROR(MATCH(W171,'Earth curves'!$E$2:$E$46,1),1)))))*(INDEX('Earth curves'!$G$2:$G$46,MAX(1,MIN(44,IFERROR(MATCH(W171,'Earth curves'!$E$2:$E$46,1),1)))+1)-INDEX('Earth curves'!$G$2:$G$46,MAX(1,MIN(44,IFERROR(MATCH(W171,'Earth curves'!$E$2:$E$46,1),1)))))/(INDEX('Earth curves'!$E$2:$E$46,MAX(1,MIN(44,IFERROR(MATCH(W171,'Earth curves'!$E$2:$E$46,1),1)))+1)-INDEX('Earth curves'!$E$2:$E$46,MAX(1,MIN(44,IFERROR(MATCH(W171,'Earth curves'!$E$2:$E$46,1),1))))))</f>
        <v/>
      </c>
      <c r="Z171" s="6">
        <f>(MIN(X171/Config!$B$9,1)+MIN(Y171/Config!$B$10,1))/2</f>
        <v/>
      </c>
      <c r="AA171" s="10">
        <f>ROUND(MIN(22,MAX(3,X171*W171/Z171)),1)</f>
        <v/>
      </c>
      <c r="AB171" s="11" t="n"/>
      <c r="AC171" s="10">
        <f>IF(AB171="",AA171,AB171)</f>
        <v/>
      </c>
      <c r="AD171" s="10">
        <f>ROUND(MIN(Config!$B$10,MAX(1,Y171*W171/Z171)),1)</f>
        <v/>
      </c>
      <c r="AE171" s="11" t="n"/>
      <c r="AF171" s="10">
        <f>IF(AE171="",AD171,AE171)</f>
        <v/>
      </c>
      <c r="AG171" s="9">
        <f>(V171-Config!$B$7)/(Config!$B$8-Config!$B$7)</f>
        <v/>
      </c>
      <c r="AH171" s="9">
        <f>(MIN(AC171/Config!$B$9,1)+MIN(AF171/Config!$B$10,1))/2</f>
        <v/>
      </c>
      <c r="AI171" s="12">
        <f>ROUND((AG171*AH171*G171)^(1/3),3)</f>
        <v/>
      </c>
      <c r="AJ171" s="12" t="n">
        <v>0.528</v>
      </c>
      <c r="AK171" s="13">
        <f>AI171-AJ171</f>
        <v/>
      </c>
      <c r="AL171" s="13">
        <f>AK171-AVERAGE($AK$2:$AK$173)</f>
        <v/>
      </c>
      <c r="AM171" s="6">
        <f>IF(ABS(AL171)&gt;Config!$B$11,"REVIEW","")</f>
        <v/>
      </c>
      <c r="AN171" s="14">
        <f>RANK(AI171,$AI$2:$AI$173)</f>
        <v/>
      </c>
      <c r="AO171" s="14">
        <f>RANK(AJ171,$AJ$2:$AJ$173)</f>
        <v/>
      </c>
      <c r="AP171" s="14" t="n">
        <v>171</v>
      </c>
    </row>
    <row r="172">
      <c r="A172" s="6" t="inlineStr">
        <is>
          <t>Ztesh</t>
        </is>
      </c>
      <c r="B172" s="6" t="inlineStr">
        <is>
          <t>Quia</t>
        </is>
      </c>
      <c r="C172" s="6" t="inlineStr">
        <is>
          <t>resource</t>
        </is>
      </c>
      <c r="D172" s="7" t="n">
        <v>27270</v>
      </c>
      <c r="E172" s="8">
        <f>D172*Config!$B$4</f>
        <v/>
      </c>
      <c r="F172" s="6">
        <f>LN(MAX(60,E172))</f>
        <v/>
      </c>
      <c r="G172" s="9">
        <f>MEDIAN(0,(F172-LN(Config!$B$5))/(LN(Config!$B$6)-LN(Config!$B$5)),1)</f>
        <v/>
      </c>
      <c r="H172" s="6">
        <f>MOD((Config!$B$2+$AP172*7919)*9301+49297,233280)/233280</f>
        <v/>
      </c>
      <c r="I172" s="6">
        <f>MOD((Config!$B$2+$AP172*104729)*4096+150889,714025)/714025</f>
        <v/>
      </c>
      <c r="J172" s="6">
        <f>MOD((Config!$B$2*31+$AP172*15485863)*1366+150889,714025)/714025</f>
        <v/>
      </c>
      <c r="K172" s="6" t="n"/>
      <c r="L172" s="6" t="n"/>
      <c r="M172" s="6">
        <f>COUNTIF(Siblings!$A$2:$A$84,B172)</f>
        <v/>
      </c>
      <c r="N172" s="6">
        <f>1+INT(J172*M172)</f>
        <v/>
      </c>
      <c r="O172" s="6">
        <f>IF(K172&lt;&gt;"",K172,IFERROR(INDEX(Siblings!$D$2:$D$84,MATCH(B172&amp;"|"&amp;N172,Siblings!$F$2:$F$84,0)),0))</f>
        <v/>
      </c>
      <c r="P172" s="6">
        <f>IF(L172&lt;&gt;"",L172,IFERROR(INDEX(Siblings!$E$2:$E$84,MATCH(B172&amp;"|"&amp;N172,Siblings!$F$2:$F$84,0)),0))</f>
        <v/>
      </c>
      <c r="Q172" s="6">
        <f>(INDEX('Earth curves'!$B$2:$B$46,MAX(1,MIN(44,IFERROR(MATCH(F172,'Earth curves'!$A$2:$A$46,1),1))))+(F172-INDEX('Earth curves'!$A$2:$A$46,MAX(1,MIN(44,IFERROR(MATCH(F172,'Earth curves'!$A$2:$A$46,1),1)))))*(INDEX('Earth curves'!$B$2:$B$46,MAX(1,MIN(44,IFERROR(MATCH(F172,'Earth curves'!$A$2:$A$46,1),1)))+1)-INDEX('Earth curves'!$B$2:$B$46,MAX(1,MIN(44,IFERROR(MATCH(F172,'Earth curves'!$A$2:$A$46,1),1)))))/(INDEX('Earth curves'!$A$2:$A$46,MAX(1,MIN(44,IFERROR(MATCH(F172,'Earth curves'!$A$2:$A$46,1),1)))+1)-INDEX('Earth curves'!$A$2:$A$46,MAX(1,MIN(44,IFERROR(MATCH(F172,'Earth curves'!$A$2:$A$46,1),1))))))</f>
        <v/>
      </c>
      <c r="R172" s="6">
        <f>(INDEX('Earth curves'!$C$2:$C$46,MAX(1,MIN(44,IFERROR(MATCH(F172,'Earth curves'!$A$2:$A$46,1),1))))+(F172-INDEX('Earth curves'!$A$2:$A$46,MAX(1,MIN(44,IFERROR(MATCH(F172,'Earth curves'!$A$2:$A$46,1),1)))))*(INDEX('Earth curves'!$C$2:$C$46,MAX(1,MIN(44,IFERROR(MATCH(F172,'Earth curves'!$A$2:$A$46,1),1)))+1)-INDEX('Earth curves'!$C$2:$C$46,MAX(1,MIN(44,IFERROR(MATCH(F172,'Earth curves'!$A$2:$A$46,1),1)))))/(INDEX('Earth curves'!$A$2:$A$46,MAX(1,MIN(44,IFERROR(MATCH(F172,'Earth curves'!$A$2:$A$46,1),1)))+1)-INDEX('Earth curves'!$A$2:$A$46,MAX(1,MIN(44,IFERROR(MATCH(F172,'Earth curves'!$A$2:$A$46,1),1))))))</f>
        <v/>
      </c>
      <c r="S172" s="6">
        <f>MEDIAN(0.307692,Q172+MEDIAN(-0.350583,O172+NORMSINV(H172)*0.064828*Config!$B$3,0.120277),0.993846)</f>
        <v/>
      </c>
      <c r="T172" s="10">
        <f>ROUND(Config!$B$7+(Config!$B$8-Config!$B$7)*S172,1)</f>
        <v/>
      </c>
      <c r="U172" s="11" t="n"/>
      <c r="V172" s="10">
        <f>IF(U172="",T172,U172)</f>
        <v/>
      </c>
      <c r="W172" s="6">
        <f>MEDIAN(0.05,R172+MEDIAN(-0.302219,P172+NORMSINV(I172)*0.089531*Config!$B$3,0.274961),0.999)</f>
        <v/>
      </c>
      <c r="X172" s="6">
        <f>(INDEX('Earth curves'!$F$2:$F$46,MAX(1,MIN(44,IFERROR(MATCH(W172,'Earth curves'!$E$2:$E$46,1),1))))+(W172-INDEX('Earth curves'!$E$2:$E$46,MAX(1,MIN(44,IFERROR(MATCH(W172,'Earth curves'!$E$2:$E$46,1),1)))))*(INDEX('Earth curves'!$F$2:$F$46,MAX(1,MIN(44,IFERROR(MATCH(W172,'Earth curves'!$E$2:$E$46,1),1)))+1)-INDEX('Earth curves'!$F$2:$F$46,MAX(1,MIN(44,IFERROR(MATCH(W172,'Earth curves'!$E$2:$E$46,1),1)))))/(INDEX('Earth curves'!$E$2:$E$46,MAX(1,MIN(44,IFERROR(MATCH(W172,'Earth curves'!$E$2:$E$46,1),1)))+1)-INDEX('Earth curves'!$E$2:$E$46,MAX(1,MIN(44,IFERROR(MATCH(W172,'Earth curves'!$E$2:$E$46,1),1))))))</f>
        <v/>
      </c>
      <c r="Y172" s="6">
        <f>(INDEX('Earth curves'!$G$2:$G$46,MAX(1,MIN(44,IFERROR(MATCH(W172,'Earth curves'!$E$2:$E$46,1),1))))+(W172-INDEX('Earth curves'!$E$2:$E$46,MAX(1,MIN(44,IFERROR(MATCH(W172,'Earth curves'!$E$2:$E$46,1),1)))))*(INDEX('Earth curves'!$G$2:$G$46,MAX(1,MIN(44,IFERROR(MATCH(W172,'Earth curves'!$E$2:$E$46,1),1)))+1)-INDEX('Earth curves'!$G$2:$G$46,MAX(1,MIN(44,IFERROR(MATCH(W172,'Earth curves'!$E$2:$E$46,1),1)))))/(INDEX('Earth curves'!$E$2:$E$46,MAX(1,MIN(44,IFERROR(MATCH(W172,'Earth curves'!$E$2:$E$46,1),1)))+1)-INDEX('Earth curves'!$E$2:$E$46,MAX(1,MIN(44,IFERROR(MATCH(W172,'Earth curves'!$E$2:$E$46,1),1))))))</f>
        <v/>
      </c>
      <c r="Z172" s="6">
        <f>(MIN(X172/Config!$B$9,1)+MIN(Y172/Config!$B$10,1))/2</f>
        <v/>
      </c>
      <c r="AA172" s="10">
        <f>ROUND(MIN(22,MAX(3,X172*W172/Z172)),1)</f>
        <v/>
      </c>
      <c r="AB172" s="11" t="n"/>
      <c r="AC172" s="10">
        <f>IF(AB172="",AA172,AB172)</f>
        <v/>
      </c>
      <c r="AD172" s="10">
        <f>ROUND(MIN(Config!$B$10,MAX(1,Y172*W172/Z172)),1)</f>
        <v/>
      </c>
      <c r="AE172" s="11" t="n"/>
      <c r="AF172" s="10">
        <f>IF(AE172="",AD172,AE172)</f>
        <v/>
      </c>
      <c r="AG172" s="9">
        <f>(V172-Config!$B$7)/(Config!$B$8-Config!$B$7)</f>
        <v/>
      </c>
      <c r="AH172" s="9">
        <f>(MIN(AC172/Config!$B$9,1)+MIN(AF172/Config!$B$10,1))/2</f>
        <v/>
      </c>
      <c r="AI172" s="12">
        <f>ROUND((AG172*AH172*G172)^(1/3),3)</f>
        <v/>
      </c>
      <c r="AJ172" s="12" t="n">
        <v>0.66</v>
      </c>
      <c r="AK172" s="13">
        <f>AI172-AJ172</f>
        <v/>
      </c>
      <c r="AL172" s="13">
        <f>AK172-AVERAGE($AK$2:$AK$173)</f>
        <v/>
      </c>
      <c r="AM172" s="6">
        <f>IF(ABS(AL172)&gt;Config!$B$11,"REVIEW","")</f>
        <v/>
      </c>
      <c r="AN172" s="14">
        <f>RANK(AI172,$AI$2:$AI$173)</f>
        <v/>
      </c>
      <c r="AO172" s="14">
        <f>RANK(AJ172,$AJ$2:$AJ$173)</f>
        <v/>
      </c>
      <c r="AP172" s="14" t="n">
        <v>172</v>
      </c>
    </row>
    <row r="173">
      <c r="A173" s="6" t="inlineStr">
        <is>
          <t>lasri</t>
        </is>
      </c>
      <c r="B173" s="6" t="inlineStr">
        <is>
          <t>Atirha</t>
        </is>
      </c>
      <c r="C173" s="6" t="inlineStr">
        <is>
          <t>—</t>
        </is>
      </c>
      <c r="D173" s="7" t="n">
        <v>66667</v>
      </c>
      <c r="E173" s="8">
        <f>D173*Config!$B$4</f>
        <v/>
      </c>
      <c r="F173" s="6">
        <f>LN(MAX(60,E173))</f>
        <v/>
      </c>
      <c r="G173" s="9">
        <f>MEDIAN(0,(F173-LN(Config!$B$5))/(LN(Config!$B$6)-LN(Config!$B$5)),1)</f>
        <v/>
      </c>
      <c r="H173" s="6">
        <f>MOD((Config!$B$2+$AP173*7919)*9301+49297,233280)/233280</f>
        <v/>
      </c>
      <c r="I173" s="6">
        <f>MOD((Config!$B$2+$AP173*104729)*4096+150889,714025)/714025</f>
        <v/>
      </c>
      <c r="J173" s="6">
        <f>MOD((Config!$B$2*31+$AP173*15485863)*1366+150889,714025)/714025</f>
        <v/>
      </c>
      <c r="K173" s="6" t="n"/>
      <c r="L173" s="6" t="n"/>
      <c r="M173" s="6">
        <f>COUNTIF(Siblings!$A$2:$A$84,B173)</f>
        <v/>
      </c>
      <c r="N173" s="6">
        <f>1+INT(J173*M173)</f>
        <v/>
      </c>
      <c r="O173" s="6">
        <f>IF(K173&lt;&gt;"",K173,IFERROR(INDEX(Siblings!$D$2:$D$84,MATCH(B173&amp;"|"&amp;N173,Siblings!$F$2:$F$84,0)),0))</f>
        <v/>
      </c>
      <c r="P173" s="6">
        <f>IF(L173&lt;&gt;"",L173,IFERROR(INDEX(Siblings!$E$2:$E$84,MATCH(B173&amp;"|"&amp;N173,Siblings!$F$2:$F$84,0)),0))</f>
        <v/>
      </c>
      <c r="Q173" s="6">
        <f>(INDEX('Earth curves'!$B$2:$B$46,MAX(1,MIN(44,IFERROR(MATCH(F173,'Earth curves'!$A$2:$A$46,1),1))))+(F173-INDEX('Earth curves'!$A$2:$A$46,MAX(1,MIN(44,IFERROR(MATCH(F173,'Earth curves'!$A$2:$A$46,1),1)))))*(INDEX('Earth curves'!$B$2:$B$46,MAX(1,MIN(44,IFERROR(MATCH(F173,'Earth curves'!$A$2:$A$46,1),1)))+1)-INDEX('Earth curves'!$B$2:$B$46,MAX(1,MIN(44,IFERROR(MATCH(F173,'Earth curves'!$A$2:$A$46,1),1)))))/(INDEX('Earth curves'!$A$2:$A$46,MAX(1,MIN(44,IFERROR(MATCH(F173,'Earth curves'!$A$2:$A$46,1),1)))+1)-INDEX('Earth curves'!$A$2:$A$46,MAX(1,MIN(44,IFERROR(MATCH(F173,'Earth curves'!$A$2:$A$46,1),1))))))</f>
        <v/>
      </c>
      <c r="R173" s="6">
        <f>(INDEX('Earth curves'!$C$2:$C$46,MAX(1,MIN(44,IFERROR(MATCH(F173,'Earth curves'!$A$2:$A$46,1),1))))+(F173-INDEX('Earth curves'!$A$2:$A$46,MAX(1,MIN(44,IFERROR(MATCH(F173,'Earth curves'!$A$2:$A$46,1),1)))))*(INDEX('Earth curves'!$C$2:$C$46,MAX(1,MIN(44,IFERROR(MATCH(F173,'Earth curves'!$A$2:$A$46,1),1)))+1)-INDEX('Earth curves'!$C$2:$C$46,MAX(1,MIN(44,IFERROR(MATCH(F173,'Earth curves'!$A$2:$A$46,1),1)))))/(INDEX('Earth curves'!$A$2:$A$46,MAX(1,MIN(44,IFERROR(MATCH(F173,'Earth curves'!$A$2:$A$46,1),1)))+1)-INDEX('Earth curves'!$A$2:$A$46,MAX(1,MIN(44,IFERROR(MATCH(F173,'Earth curves'!$A$2:$A$46,1),1))))))</f>
        <v/>
      </c>
      <c r="S173" s="6">
        <f>MEDIAN(0.307692,Q173+MEDIAN(-0.350583,O173+NORMSINV(H173)*0.064828*Config!$B$3,0.120277),0.993846)</f>
        <v/>
      </c>
      <c r="T173" s="10">
        <f>ROUND(Config!$B$7+(Config!$B$8-Config!$B$7)*S173,1)</f>
        <v/>
      </c>
      <c r="U173" s="11" t="n"/>
      <c r="V173" s="10">
        <f>IF(U173="",T173,U173)</f>
        <v/>
      </c>
      <c r="W173" s="6">
        <f>MEDIAN(0.05,R173+MEDIAN(-0.302219,P173+NORMSINV(I173)*0.089531*Config!$B$3,0.274961),0.999)</f>
        <v/>
      </c>
      <c r="X173" s="6">
        <f>(INDEX('Earth curves'!$F$2:$F$46,MAX(1,MIN(44,IFERROR(MATCH(W173,'Earth curves'!$E$2:$E$46,1),1))))+(W173-INDEX('Earth curves'!$E$2:$E$46,MAX(1,MIN(44,IFERROR(MATCH(W173,'Earth curves'!$E$2:$E$46,1),1)))))*(INDEX('Earth curves'!$F$2:$F$46,MAX(1,MIN(44,IFERROR(MATCH(W173,'Earth curves'!$E$2:$E$46,1),1)))+1)-INDEX('Earth curves'!$F$2:$F$46,MAX(1,MIN(44,IFERROR(MATCH(W173,'Earth curves'!$E$2:$E$46,1),1)))))/(INDEX('Earth curves'!$E$2:$E$46,MAX(1,MIN(44,IFERROR(MATCH(W173,'Earth curves'!$E$2:$E$46,1),1)))+1)-INDEX('Earth curves'!$E$2:$E$46,MAX(1,MIN(44,IFERROR(MATCH(W173,'Earth curves'!$E$2:$E$46,1),1))))))</f>
        <v/>
      </c>
      <c r="Y173" s="6">
        <f>(INDEX('Earth curves'!$G$2:$G$46,MAX(1,MIN(44,IFERROR(MATCH(W173,'Earth curves'!$E$2:$E$46,1),1))))+(W173-INDEX('Earth curves'!$E$2:$E$46,MAX(1,MIN(44,IFERROR(MATCH(W173,'Earth curves'!$E$2:$E$46,1),1)))))*(INDEX('Earth curves'!$G$2:$G$46,MAX(1,MIN(44,IFERROR(MATCH(W173,'Earth curves'!$E$2:$E$46,1),1)))+1)-INDEX('Earth curves'!$G$2:$G$46,MAX(1,MIN(44,IFERROR(MATCH(W173,'Earth curves'!$E$2:$E$46,1),1)))))/(INDEX('Earth curves'!$E$2:$E$46,MAX(1,MIN(44,IFERROR(MATCH(W173,'Earth curves'!$E$2:$E$46,1),1)))+1)-INDEX('Earth curves'!$E$2:$E$46,MAX(1,MIN(44,IFERROR(MATCH(W173,'Earth curves'!$E$2:$E$46,1),1))))))</f>
        <v/>
      </c>
      <c r="Z173" s="6">
        <f>(MIN(X173/Config!$B$9,1)+MIN(Y173/Config!$B$10,1))/2</f>
        <v/>
      </c>
      <c r="AA173" s="10">
        <f>ROUND(MIN(22,MAX(3,X173*W173/Z173)),1)</f>
        <v/>
      </c>
      <c r="AB173" s="11" t="n"/>
      <c r="AC173" s="10">
        <f>IF(AB173="",AA173,AB173)</f>
        <v/>
      </c>
      <c r="AD173" s="10">
        <f>ROUND(MIN(Config!$B$10,MAX(1,Y173*W173/Z173)),1)</f>
        <v/>
      </c>
      <c r="AE173" s="11" t="n"/>
      <c r="AF173" s="10">
        <f>IF(AE173="",AD173,AE173)</f>
        <v/>
      </c>
      <c r="AG173" s="9">
        <f>(V173-Config!$B$7)/(Config!$B$8-Config!$B$7)</f>
        <v/>
      </c>
      <c r="AH173" s="9">
        <f>(MIN(AC173/Config!$B$9,1)+MIN(AF173/Config!$B$10,1))/2</f>
        <v/>
      </c>
      <c r="AI173" s="12">
        <f>ROUND((AG173*AH173*G173)^(1/3),3)</f>
        <v/>
      </c>
      <c r="AJ173" s="12" t="n">
        <v>0.883</v>
      </c>
      <c r="AK173" s="13">
        <f>AI173-AJ173</f>
        <v/>
      </c>
      <c r="AL173" s="13">
        <f>AK173-AVERAGE($AK$2:$AK$173)</f>
        <v/>
      </c>
      <c r="AM173" s="6">
        <f>IF(ABS(AL173)&gt;Config!$B$11,"REVIEW","")</f>
        <v/>
      </c>
      <c r="AN173" s="14">
        <f>RANK(AI173,$AI$2:$AI$173)</f>
        <v/>
      </c>
      <c r="AO173" s="14">
        <f>RANK(AJ173,$AJ$2:$AJ$173)</f>
        <v/>
      </c>
      <c r="AP173" s="14" t="n">
        <v>173</v>
      </c>
    </row>
  </sheetData>
  <conditionalFormatting sqref="AM2:AM173">
    <cfRule type="cellIs" priority="1" operator="equal" dxfId="0">
      <formula>"REVIEW"</formula>
    </cfRule>
  </conditionalFormatting>
  <conditionalFormatting sqref="AL2:AL173">
    <cfRule type="colorScale" priority="2">
      <colorScale>
        <cfvo type="num" val="-0.2"/>
        <cfvo type="num" val="0"/>
        <cfvo type="num" val="0.2"/>
        <color rgb="002A78D6"/>
        <color rgb="00FFFFFF"/>
        <color rgb="00B83A3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82" customWidth="1" min="3" max="3"/>
  </cols>
  <sheetData>
    <row r="1">
      <c r="A1" s="15" t="inlineStr">
        <is>
          <t>Setting</t>
        </is>
      </c>
      <c r="B1" s="15" t="inlineStr">
        <is>
          <t>Value</t>
        </is>
      </c>
      <c r="C1" s="15" t="inlineStr">
        <is>
          <t>Notes</t>
        </is>
      </c>
    </row>
    <row r="2">
      <c r="A2" s="16" t="inlineStr">
        <is>
          <t>SEED</t>
        </is>
      </c>
      <c r="B2" s="17" t="n">
        <v>1765</v>
      </c>
      <c r="C2" s="18" t="inlineStr">
        <is>
          <t>Change this to re-roll every random element across all 172 countries at once. Any whole number. Same seed always gives the same world.</t>
        </is>
      </c>
    </row>
    <row r="3">
      <c r="A3" t="inlineStr">
        <is>
          <t>Dice strength</t>
        </is>
      </c>
      <c r="B3" s="19" t="n">
        <v>0.2</v>
      </c>
      <c r="C3" s="18" t="inlineStr">
        <is>
          <t>How much random wobble sits on top of each country's character. 0 turns the dice off entirely and leaves only real analogue data.</t>
        </is>
      </c>
    </row>
    <row r="4">
      <c r="A4" t="inlineStr">
        <is>
          <t>Lahn to US dollar</t>
        </is>
      </c>
      <c r="B4" s="20" t="n">
        <v>0.155</v>
      </c>
      <c r="C4" s="18" t="inlineStr">
        <is>
          <t>As published in MediaWiki:Common.js.</t>
        </is>
      </c>
    </row>
    <row r="5">
      <c r="A5" t="inlineStr">
        <is>
          <t>Income anchor, low (US$)</t>
        </is>
      </c>
      <c r="B5" s="19" t="n">
        <v>100</v>
      </c>
      <c r="C5" s="18" t="inlineStr">
        <is>
          <t>HDI's published anchor, applied to nominal income.</t>
        </is>
      </c>
    </row>
    <row r="6">
      <c r="A6" t="inlineStr">
        <is>
          <t>Income anchor, high (US$)</t>
        </is>
      </c>
      <c r="B6" s="19" t="n">
        <v>75000</v>
      </c>
      <c r="C6" s="18" t="inlineStr">
        <is>
          <t>HDI's published anchor, applied to nominal income.</t>
        </is>
      </c>
    </row>
    <row r="7">
      <c r="A7" t="inlineStr">
        <is>
          <t>Life expectancy floor</t>
        </is>
      </c>
      <c r="B7" s="19" t="n">
        <v>20</v>
      </c>
      <c r="C7" s="18" t="inlineStr">
        <is>
          <t>HDI convention.</t>
        </is>
      </c>
    </row>
    <row r="8">
      <c r="A8" t="inlineStr">
        <is>
          <t>Life expectancy ceiling</t>
        </is>
      </c>
      <c r="B8" s="19" t="n">
        <v>85</v>
      </c>
      <c r="C8" s="18" t="inlineStr">
        <is>
          <t>HDI convention.</t>
        </is>
      </c>
    </row>
    <row r="9">
      <c r="A9" t="inlineStr">
        <is>
          <t>Expected years schooling cap</t>
        </is>
      </c>
      <c r="B9" s="19" t="n">
        <v>18</v>
      </c>
      <c r="C9" s="18" t="inlineStr">
        <is>
          <t>HDI convention.</t>
        </is>
      </c>
    </row>
    <row r="10">
      <c r="A10" t="inlineStr">
        <is>
          <t>Mean years schooling cap</t>
        </is>
      </c>
      <c r="B10" s="19" t="n">
        <v>15</v>
      </c>
      <c r="C10" s="18" t="inlineStr">
        <is>
          <t>HDI convention.</t>
        </is>
      </c>
    </row>
    <row r="11">
      <c r="A11" t="inlineStr">
        <is>
          <t>Review threshold</t>
        </is>
      </c>
      <c r="B11" s="19" t="n">
        <v>0.05</v>
      </c>
      <c r="C11" s="18" t="inlineStr">
        <is>
          <t>Flag a country when it moves this far from the shift shared by all 172.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1" t="inlineStr">
        <is>
          <t>log income (US$)</t>
        </is>
      </c>
      <c r="B1" s="21" t="inlineStr">
        <is>
          <t>expected health index</t>
        </is>
      </c>
      <c r="C1" s="21" t="inlineStr">
        <is>
          <t>expected education index</t>
        </is>
      </c>
      <c r="D1" s="22" t="inlineStr"/>
      <c r="E1" s="21" t="inlineStr">
        <is>
          <t>education index</t>
        </is>
      </c>
      <c r="F1" s="21" t="inlineStr">
        <is>
          <t>expected years schooling</t>
        </is>
      </c>
      <c r="G1" s="21" t="inlineStr">
        <is>
          <t>mean years schooling</t>
        </is>
      </c>
      <c r="I1" s="23" t="inlineStr">
        <is>
          <t>Sampled from 186 real countries, UNDP/World Bank 2015. Read by the model sheet; do not reorder.</t>
        </is>
      </c>
    </row>
    <row r="2">
      <c r="A2" t="n">
        <v>4.094345</v>
      </c>
      <c r="B2" t="n">
        <v>0.491764</v>
      </c>
      <c r="C2" t="n">
        <v>0.171074</v>
      </c>
      <c r="E2" t="n">
        <v>0.05</v>
      </c>
      <c r="F2" t="n">
        <v>2.858817</v>
      </c>
      <c r="G2" t="n">
        <v>-0.882347</v>
      </c>
    </row>
    <row r="3">
      <c r="A3" t="n">
        <v>4.278702</v>
      </c>
      <c r="B3" t="n">
        <v>0.500816</v>
      </c>
      <c r="C3" t="n">
        <v>0.187235</v>
      </c>
      <c r="E3" t="n">
        <v>0.071591</v>
      </c>
      <c r="F3" t="n">
        <v>3.274548</v>
      </c>
      <c r="G3" t="n">
        <v>-0.581063</v>
      </c>
    </row>
    <row r="4">
      <c r="A4" t="n">
        <v>4.463059</v>
      </c>
      <c r="B4" t="n">
        <v>0.5099320000000001</v>
      </c>
      <c r="C4" t="n">
        <v>0.203565</v>
      </c>
      <c r="E4" t="n">
        <v>0.093182</v>
      </c>
      <c r="F4" t="n">
        <v>3.690163</v>
      </c>
      <c r="G4" t="n">
        <v>-0.279681</v>
      </c>
    </row>
    <row r="5">
      <c r="A5" t="n">
        <v>4.647417</v>
      </c>
      <c r="B5" t="n">
        <v>0.519124</v>
      </c>
      <c r="C5" t="n">
        <v>0.220089</v>
      </c>
      <c r="E5" t="n">
        <v>0.114773</v>
      </c>
      <c r="F5" t="n">
        <v>4.105608</v>
      </c>
      <c r="G5" t="n">
        <v>0.021842</v>
      </c>
    </row>
    <row r="6">
      <c r="A6" t="n">
        <v>4.831774</v>
      </c>
      <c r="B6" t="n">
        <v>0.528408</v>
      </c>
      <c r="C6" t="n">
        <v>0.236835</v>
      </c>
      <c r="E6" t="n">
        <v>0.136364</v>
      </c>
      <c r="F6" t="n">
        <v>4.520815</v>
      </c>
      <c r="G6" t="n">
        <v>0.323563</v>
      </c>
    </row>
    <row r="7">
      <c r="A7" t="n">
        <v>5.016132</v>
      </c>
      <c r="B7" t="n">
        <v>0.537802</v>
      </c>
      <c r="C7" t="n">
        <v>0.253835</v>
      </c>
      <c r="E7" t="n">
        <v>0.157955</v>
      </c>
      <c r="F7" t="n">
        <v>4.935689</v>
      </c>
      <c r="G7" t="n">
        <v>0.625562</v>
      </c>
    </row>
    <row r="8">
      <c r="A8" t="n">
        <v>5.200489</v>
      </c>
      <c r="B8" t="n">
        <v>0.547333</v>
      </c>
      <c r="C8" t="n">
        <v>0.27113</v>
      </c>
      <c r="E8" t="n">
        <v>0.179545</v>
      </c>
      <c r="F8" t="n">
        <v>5.350105</v>
      </c>
      <c r="G8" t="n">
        <v>0.927943</v>
      </c>
    </row>
    <row r="9">
      <c r="A9" t="n">
        <v>5.384847</v>
      </c>
      <c r="B9" t="n">
        <v>0.5570310000000001</v>
      </c>
      <c r="C9" t="n">
        <v>0.288765</v>
      </c>
      <c r="E9" t="n">
        <v>0.201136</v>
      </c>
      <c r="F9" t="n">
        <v>5.76389</v>
      </c>
      <c r="G9" t="n">
        <v>1.230849</v>
      </c>
    </row>
    <row r="10">
      <c r="A10" t="n">
        <v>5.569204</v>
      </c>
      <c r="B10" t="n">
        <v>0.566943</v>
      </c>
      <c r="C10" t="n">
        <v>0.30679</v>
      </c>
      <c r="E10" t="n">
        <v>0.222727</v>
      </c>
      <c r="F10" t="n">
        <v>6.176807</v>
      </c>
      <c r="G10" t="n">
        <v>1.534479</v>
      </c>
    </row>
    <row r="11">
      <c r="A11" t="n">
        <v>5.753562</v>
      </c>
      <c r="B11" t="n">
        <v>0.577098</v>
      </c>
      <c r="C11" t="n">
        <v>0.325224</v>
      </c>
      <c r="E11" t="n">
        <v>0.244318</v>
      </c>
      <c r="F11" t="n">
        <v>6.588525</v>
      </c>
      <c r="G11" t="n">
        <v>1.839108</v>
      </c>
    </row>
    <row r="12">
      <c r="A12" t="n">
        <v>5.937919</v>
      </c>
      <c r="B12" t="n">
        <v>0.5874740000000001</v>
      </c>
      <c r="C12" t="n">
        <v>0.343972</v>
      </c>
      <c r="E12" t="n">
        <v>0.265909</v>
      </c>
      <c r="F12" t="n">
        <v>6.998585</v>
      </c>
      <c r="G12" t="n">
        <v>2.145119</v>
      </c>
    </row>
    <row r="13">
      <c r="A13" t="n">
        <v>6.122277</v>
      </c>
      <c r="B13" t="n">
        <v>0.598087</v>
      </c>
      <c r="C13" t="n">
        <v>0.362923</v>
      </c>
      <c r="E13" t="n">
        <v>0.2875</v>
      </c>
      <c r="F13" t="n">
        <v>7.406535</v>
      </c>
      <c r="G13" t="n">
        <v>2.452887</v>
      </c>
    </row>
    <row r="14">
      <c r="A14" t="n">
        <v>6.306634</v>
      </c>
      <c r="B14" t="n">
        <v>0.609057</v>
      </c>
      <c r="C14" t="n">
        <v>0.381973</v>
      </c>
      <c r="E14" t="n">
        <v>0.309091</v>
      </c>
      <c r="F14" t="n">
        <v>7.811925</v>
      </c>
      <c r="G14" t="n">
        <v>2.76279</v>
      </c>
    </row>
    <row r="15">
      <c r="A15" t="n">
        <v>6.490991</v>
      </c>
      <c r="B15" t="n">
        <v>0.620506</v>
      </c>
      <c r="C15" t="n">
        <v>0.401002</v>
      </c>
      <c r="E15" t="n">
        <v>0.330682</v>
      </c>
      <c r="F15" t="n">
        <v>8.214162</v>
      </c>
      <c r="G15" t="n">
        <v>3.075319</v>
      </c>
    </row>
    <row r="16">
      <c r="A16" t="n">
        <v>6.675349</v>
      </c>
      <c r="B16" t="n">
        <v>0.632549</v>
      </c>
      <c r="C16" t="n">
        <v>0.420109</v>
      </c>
      <c r="E16" t="n">
        <v>0.352273</v>
      </c>
      <c r="F16" t="n">
        <v>8.612878</v>
      </c>
      <c r="G16" t="n">
        <v>3.390783</v>
      </c>
    </row>
    <row r="17">
      <c r="A17" t="n">
        <v>6.859706</v>
      </c>
      <c r="B17" t="n">
        <v>0.645405</v>
      </c>
      <c r="C17" t="n">
        <v>0.440082</v>
      </c>
      <c r="E17" t="n">
        <v>0.373864</v>
      </c>
      <c r="F17" t="n">
        <v>9.007982999999999</v>
      </c>
      <c r="G17" t="n">
        <v>3.709257</v>
      </c>
    </row>
    <row r="18">
      <c r="A18" t="n">
        <v>7.044064</v>
      </c>
      <c r="B18" t="n">
        <v>0.658716</v>
      </c>
      <c r="C18" t="n">
        <v>0.461835</v>
      </c>
      <c r="E18" t="n">
        <v>0.395455</v>
      </c>
      <c r="F18" t="n">
        <v>9.400656</v>
      </c>
      <c r="G18" t="n">
        <v>4.029757</v>
      </c>
    </row>
    <row r="19">
      <c r="A19" t="n">
        <v>7.228421</v>
      </c>
      <c r="B19" t="n">
        <v>0.6718</v>
      </c>
      <c r="C19" t="n">
        <v>0.485404</v>
      </c>
      <c r="E19" t="n">
        <v>0.417045</v>
      </c>
      <c r="F19" t="n">
        <v>9.792578000000001</v>
      </c>
      <c r="G19" t="n">
        <v>4.350882</v>
      </c>
    </row>
    <row r="20">
      <c r="A20" t="n">
        <v>7.412779</v>
      </c>
      <c r="B20" t="n">
        <v>0.687542</v>
      </c>
      <c r="C20" t="n">
        <v>0.511507</v>
      </c>
      <c r="E20" t="n">
        <v>0.438636</v>
      </c>
      <c r="F20" t="n">
        <v>10.182277</v>
      </c>
      <c r="G20" t="n">
        <v>4.67386</v>
      </c>
    </row>
    <row r="21">
      <c r="A21" t="n">
        <v>7.597136</v>
      </c>
      <c r="B21" t="n">
        <v>0.707251</v>
      </c>
      <c r="C21" t="n">
        <v>0.538747</v>
      </c>
      <c r="E21" t="n">
        <v>0.460227</v>
      </c>
      <c r="F21" t="n">
        <v>10.560851</v>
      </c>
      <c r="G21" t="n">
        <v>5.006109</v>
      </c>
    </row>
    <row r="22">
      <c r="A22" t="n">
        <v>7.781494</v>
      </c>
      <c r="B22" t="n">
        <v>0.729063</v>
      </c>
      <c r="C22" t="n">
        <v>0.565346</v>
      </c>
      <c r="E22" t="n">
        <v>0.481818</v>
      </c>
      <c r="F22" t="n">
        <v>10.920365</v>
      </c>
      <c r="G22" t="n">
        <v>5.354241</v>
      </c>
    </row>
    <row r="23">
      <c r="A23" t="n">
        <v>7.965851</v>
      </c>
      <c r="B23" t="n">
        <v>0.746853</v>
      </c>
      <c r="C23" t="n">
        <v>0.595025</v>
      </c>
      <c r="E23" t="n">
        <v>0.503409</v>
      </c>
      <c r="F23" t="n">
        <v>11.253305</v>
      </c>
      <c r="G23" t="n">
        <v>5.724518</v>
      </c>
    </row>
    <row r="24">
      <c r="A24" t="n">
        <v>8.150209</v>
      </c>
      <c r="B24" t="n">
        <v>0.763073</v>
      </c>
      <c r="C24" t="n">
        <v>0.626381</v>
      </c>
      <c r="E24" t="n">
        <v>0.525</v>
      </c>
      <c r="F24" t="n">
        <v>11.516866</v>
      </c>
      <c r="G24" t="n">
        <v>6.152612</v>
      </c>
    </row>
    <row r="25">
      <c r="A25" t="n">
        <v>8.334566000000001</v>
      </c>
      <c r="B25" t="n">
        <v>0.777081</v>
      </c>
      <c r="C25" t="n">
        <v>0.655473</v>
      </c>
      <c r="E25" t="n">
        <v>0.546591</v>
      </c>
      <c r="F25" t="n">
        <v>11.762592</v>
      </c>
      <c r="G25" t="n">
        <v>6.595567</v>
      </c>
    </row>
    <row r="26">
      <c r="A26" t="n">
        <v>8.518924</v>
      </c>
      <c r="B26" t="n">
        <v>0.789372</v>
      </c>
      <c r="C26" t="n">
        <v>0.676955</v>
      </c>
      <c r="E26" t="n">
        <v>0.568182</v>
      </c>
      <c r="F26" t="n">
        <v>12.004284</v>
      </c>
      <c r="G26" t="n">
        <v>7.041885</v>
      </c>
    </row>
    <row r="27">
      <c r="A27" t="n">
        <v>8.703281</v>
      </c>
      <c r="B27" t="n">
        <v>0.799951</v>
      </c>
      <c r="C27" t="n">
        <v>0.689759</v>
      </c>
      <c r="E27" t="n">
        <v>0.589773</v>
      </c>
      <c r="F27" t="n">
        <v>12.248513</v>
      </c>
      <c r="G27" t="n">
        <v>7.486088</v>
      </c>
    </row>
    <row r="28">
      <c r="A28" t="n">
        <v>8.887638000000001</v>
      </c>
      <c r="B28" t="n">
        <v>0.811443</v>
      </c>
      <c r="C28" t="n">
        <v>0.704687</v>
      </c>
      <c r="E28" t="n">
        <v>0.611364</v>
      </c>
      <c r="F28" t="n">
        <v>12.476904</v>
      </c>
      <c r="G28" t="n">
        <v>7.943489</v>
      </c>
    </row>
    <row r="29">
      <c r="A29" t="n">
        <v>9.071996</v>
      </c>
      <c r="B29" t="n">
        <v>0.823433</v>
      </c>
      <c r="C29" t="n">
        <v>0.726248</v>
      </c>
      <c r="E29" t="n">
        <v>0.632955</v>
      </c>
      <c r="F29" t="n">
        <v>12.70799</v>
      </c>
      <c r="G29" t="n">
        <v>8.398645</v>
      </c>
    </row>
    <row r="30">
      <c r="A30" t="n">
        <v>9.256353000000001</v>
      </c>
      <c r="B30" t="n">
        <v>0.836086</v>
      </c>
      <c r="C30" t="n">
        <v>0.746378</v>
      </c>
      <c r="E30" t="n">
        <v>0.654545</v>
      </c>
      <c r="F30" t="n">
        <v>13.005246</v>
      </c>
      <c r="G30" t="n">
        <v>8.798659000000001</v>
      </c>
    </row>
    <row r="31">
      <c r="A31" t="n">
        <v>9.440711</v>
      </c>
      <c r="B31" t="n">
        <v>0.85128</v>
      </c>
      <c r="C31" t="n">
        <v>0.761532</v>
      </c>
      <c r="E31" t="n">
        <v>0.676136</v>
      </c>
      <c r="F31" t="n">
        <v>13.339862</v>
      </c>
      <c r="G31" t="n">
        <v>9.167539</v>
      </c>
    </row>
    <row r="32">
      <c r="A32" t="n">
        <v>9.625068000000001</v>
      </c>
      <c r="B32" t="n">
        <v>0.867291</v>
      </c>
      <c r="C32" t="n">
        <v>0.775878</v>
      </c>
      <c r="E32" t="n">
        <v>0.697727</v>
      </c>
      <c r="F32" t="n">
        <v>13.672267</v>
      </c>
      <c r="G32" t="n">
        <v>9.538263000000001</v>
      </c>
    </row>
    <row r="33">
      <c r="A33" t="n">
        <v>9.809426</v>
      </c>
      <c r="B33" t="n">
        <v>0.883917</v>
      </c>
      <c r="C33" t="n">
        <v>0.788148</v>
      </c>
      <c r="E33" t="n">
        <v>0.719318</v>
      </c>
      <c r="F33" t="n">
        <v>14.006063</v>
      </c>
      <c r="G33" t="n">
        <v>9.907826</v>
      </c>
    </row>
    <row r="34">
      <c r="A34" t="n">
        <v>9.993783000000001</v>
      </c>
      <c r="B34" t="n">
        <v>0.898682</v>
      </c>
      <c r="C34" t="n">
        <v>0.802781</v>
      </c>
      <c r="E34" t="n">
        <v>0.740909</v>
      </c>
      <c r="F34" t="n">
        <v>14.401617</v>
      </c>
      <c r="G34" t="n">
        <v>10.225926</v>
      </c>
    </row>
    <row r="35">
      <c r="A35" t="n">
        <v>10.178141</v>
      </c>
      <c r="B35" t="n">
        <v>0.911519</v>
      </c>
      <c r="C35" t="n">
        <v>0.815893</v>
      </c>
      <c r="E35" t="n">
        <v>0.7625</v>
      </c>
      <c r="F35" t="n">
        <v>14.781831</v>
      </c>
      <c r="G35" t="n">
        <v>10.556971</v>
      </c>
    </row>
    <row r="36">
      <c r="A36" t="n">
        <v>10.362498</v>
      </c>
      <c r="B36" t="n">
        <v>0.92314</v>
      </c>
      <c r="C36" t="n">
        <v>0.826638</v>
      </c>
      <c r="E36" t="n">
        <v>0.784091</v>
      </c>
      <c r="F36" t="n">
        <v>15.163268</v>
      </c>
      <c r="G36" t="n">
        <v>10.892881</v>
      </c>
    </row>
    <row r="37">
      <c r="A37" t="n">
        <v>10.546856</v>
      </c>
      <c r="B37" t="n">
        <v>0.934134</v>
      </c>
      <c r="C37" t="n">
        <v>0.836031</v>
      </c>
      <c r="E37" t="n">
        <v>0.805682</v>
      </c>
      <c r="F37" t="n">
        <v>15.563658</v>
      </c>
      <c r="G37" t="n">
        <v>11.224108</v>
      </c>
    </row>
    <row r="38">
      <c r="A38" t="n">
        <v>10.731213</v>
      </c>
      <c r="B38" t="n">
        <v>0.944968</v>
      </c>
      <c r="C38" t="n">
        <v>0.845203</v>
      </c>
      <c r="E38" t="n">
        <v>0.827273</v>
      </c>
      <c r="F38" t="n">
        <v>16.001553</v>
      </c>
      <c r="G38" t="n">
        <v>11.573165</v>
      </c>
    </row>
    <row r="39">
      <c r="A39" t="n">
        <v>10.91557</v>
      </c>
      <c r="B39" t="n">
        <v>0.955661</v>
      </c>
      <c r="C39" t="n">
        <v>0.854612</v>
      </c>
      <c r="E39" t="n">
        <v>0.848864</v>
      </c>
      <c r="F39" t="n">
        <v>16.494066</v>
      </c>
      <c r="G39" t="n">
        <v>11.918486</v>
      </c>
    </row>
    <row r="40">
      <c r="A40" t="n">
        <v>11.099928</v>
      </c>
      <c r="B40" t="n">
        <v>0.9661</v>
      </c>
      <c r="C40" t="n">
        <v>0.864307</v>
      </c>
      <c r="E40" t="n">
        <v>0.870455</v>
      </c>
      <c r="F40" t="n">
        <v>16.980191</v>
      </c>
      <c r="G40" t="n">
        <v>12.265403</v>
      </c>
    </row>
    <row r="41">
      <c r="A41" t="n">
        <v>11.284285</v>
      </c>
      <c r="B41" t="n">
        <v>0.976202</v>
      </c>
      <c r="C41" t="n">
        <v>0.874103</v>
      </c>
      <c r="E41" t="n">
        <v>0.892045</v>
      </c>
      <c r="F41" t="n">
        <v>17.471799</v>
      </c>
      <c r="G41" t="n">
        <v>12.609738</v>
      </c>
    </row>
    <row r="42">
      <c r="A42" t="n">
        <v>11.468643</v>
      </c>
      <c r="B42" t="n">
        <v>0.9859329999999999</v>
      </c>
      <c r="C42" t="n">
        <v>0.8838819999999999</v>
      </c>
      <c r="E42" t="n">
        <v>0.913636</v>
      </c>
      <c r="F42" t="n">
        <v>17.973907</v>
      </c>
      <c r="G42" t="n">
        <v>12.950986</v>
      </c>
    </row>
    <row r="43">
      <c r="A43" t="n">
        <v>11.653</v>
      </c>
      <c r="B43" t="n">
        <v>0.995285</v>
      </c>
      <c r="C43" t="n">
        <v>0.8935419999999999</v>
      </c>
      <c r="E43" t="n">
        <v>0.935227</v>
      </c>
      <c r="F43" t="n">
        <v>18.488889</v>
      </c>
      <c r="G43" t="n">
        <v>13.288498</v>
      </c>
    </row>
    <row r="44">
      <c r="A44" t="n">
        <v>11.837358</v>
      </c>
      <c r="B44" t="n">
        <v>1.004289</v>
      </c>
      <c r="C44" t="n">
        <v>0.903026</v>
      </c>
      <c r="E44" t="n">
        <v>0.9568179999999999</v>
      </c>
      <c r="F44" t="n">
        <v>19.01331</v>
      </c>
      <c r="G44" t="n">
        <v>13.623438</v>
      </c>
    </row>
    <row r="45">
      <c r="A45" t="n">
        <v>12.021715</v>
      </c>
      <c r="B45" t="n">
        <v>1.012997</v>
      </c>
      <c r="C45" t="n">
        <v>0.912336</v>
      </c>
      <c r="E45" t="n">
        <v>0.978409</v>
      </c>
      <c r="F45" t="n">
        <v>19.543494</v>
      </c>
      <c r="G45" t="n">
        <v>13.957134</v>
      </c>
    </row>
    <row r="46">
      <c r="A46" t="n">
        <v>12.206073</v>
      </c>
      <c r="B46" t="n">
        <v>1.021453</v>
      </c>
      <c r="C46" t="n">
        <v>0.921482</v>
      </c>
      <c r="E46" t="n">
        <v>1</v>
      </c>
      <c r="F46" t="n">
        <v>20.077492</v>
      </c>
      <c r="G46" t="n">
        <v>14.29012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5" t="inlineStr">
        <is>
          <t>continent</t>
        </is>
      </c>
      <c r="B1" s="15" t="inlineStr">
        <is>
          <t>Andah country</t>
        </is>
      </c>
      <c r="C1" s="15" t="inlineStr">
        <is>
          <t>Earth analogue</t>
        </is>
      </c>
      <c r="D1" s="15" t="inlineStr">
        <is>
          <t>health deviation</t>
        </is>
      </c>
      <c r="E1" s="15" t="inlineStr">
        <is>
          <t>education deviation</t>
        </is>
      </c>
      <c r="F1" s="15" t="inlineStr">
        <is>
          <t>key</t>
        </is>
      </c>
      <c r="H1" s="23" t="inlineStr">
        <is>
          <t>The 83 countries that carry one of your Earth analogues. Countries without one borrow from this pool, choosing by seed within their own continent.</t>
        </is>
      </c>
    </row>
    <row r="2">
      <c r="A2" t="inlineStr">
        <is>
          <t>Acrola</t>
        </is>
      </c>
      <c r="B2" t="inlineStr">
        <is>
          <t>Deschon</t>
        </is>
      </c>
      <c r="C2" t="inlineStr">
        <is>
          <t>Congo</t>
        </is>
      </c>
      <c r="D2" t="n">
        <v>0.039743</v>
      </c>
      <c r="E2" t="n">
        <v>0.135052</v>
      </c>
      <c r="F2" t="inlineStr">
        <is>
          <t>Acrola|1</t>
        </is>
      </c>
    </row>
    <row r="3">
      <c r="A3" t="inlineStr">
        <is>
          <t>Acrola</t>
        </is>
      </c>
      <c r="B3" t="inlineStr">
        <is>
          <t>Eldavpir</t>
        </is>
      </c>
      <c r="C3" t="inlineStr">
        <is>
          <t>Angola</t>
        </is>
      </c>
      <c r="D3" t="n">
        <v>-0.132226</v>
      </c>
      <c r="E3" t="n">
        <v>-0.128236</v>
      </c>
      <c r="F3" t="inlineStr">
        <is>
          <t>Acrola|2</t>
        </is>
      </c>
    </row>
    <row r="4">
      <c r="A4" t="inlineStr">
        <is>
          <t>Acrola</t>
        </is>
      </c>
      <c r="B4" t="inlineStr">
        <is>
          <t>Feio Lie</t>
        </is>
      </c>
      <c r="C4" t="inlineStr">
        <is>
          <t>Butan</t>
        </is>
      </c>
      <c r="D4" t="n">
        <v>0.003522</v>
      </c>
      <c r="E4" t="n">
        <v>-0.190555</v>
      </c>
      <c r="F4" t="inlineStr">
        <is>
          <t>Acrola|3</t>
        </is>
      </c>
    </row>
    <row r="5">
      <c r="A5" t="inlineStr">
        <is>
          <t>Acrola</t>
        </is>
      </c>
      <c r="B5" t="inlineStr">
        <is>
          <t>Fire Coast</t>
        </is>
      </c>
      <c r="C5" t="inlineStr">
        <is>
          <t>Ghana</t>
        </is>
      </c>
      <c r="D5" t="n">
        <v>-0.047841</v>
      </c>
      <c r="E5" t="n">
        <v>-0.035323</v>
      </c>
      <c r="F5" t="inlineStr">
        <is>
          <t>Acrola|4</t>
        </is>
      </c>
    </row>
    <row r="6">
      <c r="A6" t="inlineStr">
        <is>
          <t>Acrola</t>
        </is>
      </c>
      <c r="B6" t="inlineStr">
        <is>
          <t>Iquir</t>
        </is>
      </c>
      <c r="C6" t="inlineStr">
        <is>
          <t>Ethiopia</t>
        </is>
      </c>
      <c r="D6" t="n">
        <v>0.058315</v>
      </c>
      <c r="E6" t="n">
        <v>-0.087769</v>
      </c>
      <c r="F6" t="inlineStr">
        <is>
          <t>Acrola|5</t>
        </is>
      </c>
    </row>
    <row r="7">
      <c r="A7" t="inlineStr">
        <is>
          <t>Acrola</t>
        </is>
      </c>
      <c r="B7" t="inlineStr">
        <is>
          <t>Jshain</t>
        </is>
      </c>
      <c r="C7" t="inlineStr">
        <is>
          <t>Azerbizan</t>
        </is>
      </c>
      <c r="D7" t="n">
        <v>-0.021886</v>
      </c>
      <c r="E7" t="n">
        <v>-0.014152</v>
      </c>
      <c r="F7" t="inlineStr">
        <is>
          <t>Acrola|6</t>
        </is>
      </c>
    </row>
    <row r="8">
      <c r="A8" t="inlineStr">
        <is>
          <t>Acrola</t>
        </is>
      </c>
      <c r="B8" t="inlineStr">
        <is>
          <t>Othya</t>
        </is>
      </c>
      <c r="C8" t="inlineStr">
        <is>
          <t>Mali</t>
        </is>
      </c>
      <c r="D8" t="n">
        <v>-0.046996</v>
      </c>
      <c r="E8" t="n">
        <v>-0.161861</v>
      </c>
      <c r="F8" t="inlineStr">
        <is>
          <t>Acrola|7</t>
        </is>
      </c>
    </row>
    <row r="9">
      <c r="A9" t="inlineStr">
        <is>
          <t>Acrola</t>
        </is>
      </c>
      <c r="B9" t="inlineStr">
        <is>
          <t>Pelines</t>
        </is>
      </c>
      <c r="C9" t="inlineStr">
        <is>
          <t>Nigeria</t>
        </is>
      </c>
      <c r="D9" t="n">
        <v>-0.232401</v>
      </c>
      <c r="E9" t="n">
        <v>-0.078778</v>
      </c>
      <c r="F9" t="inlineStr">
        <is>
          <t>Acrola|8</t>
        </is>
      </c>
    </row>
    <row r="10">
      <c r="A10" t="inlineStr">
        <is>
          <t>Acrola</t>
        </is>
      </c>
      <c r="B10" t="inlineStr">
        <is>
          <t>Reerica</t>
        </is>
      </c>
      <c r="C10" t="inlineStr">
        <is>
          <t>Gabon</t>
        </is>
      </c>
      <c r="D10" t="n">
        <v>-0.127338</v>
      </c>
      <c r="E10" t="n">
        <v>-0.112379</v>
      </c>
      <c r="F10" t="inlineStr">
        <is>
          <t>Acrola|9</t>
        </is>
      </c>
    </row>
    <row r="11">
      <c r="A11" t="inlineStr">
        <is>
          <t>Acrola</t>
        </is>
      </c>
      <c r="B11" t="inlineStr">
        <is>
          <t>Rijan bu</t>
        </is>
      </c>
      <c r="C11" t="inlineStr">
        <is>
          <t>Botswana</t>
        </is>
      </c>
      <c r="D11" t="n">
        <v>-0.137273</v>
      </c>
      <c r="E11" t="n">
        <v>-0.029351</v>
      </c>
      <c r="F11" t="inlineStr">
        <is>
          <t>Acrola|10</t>
        </is>
      </c>
    </row>
    <row r="12">
      <c r="A12" t="inlineStr">
        <is>
          <t>Acrola</t>
        </is>
      </c>
      <c r="B12" t="inlineStr">
        <is>
          <t>Taniduna</t>
        </is>
      </c>
      <c r="C12" t="inlineStr">
        <is>
          <t>Sudan</t>
        </is>
      </c>
      <c r="D12" t="n">
        <v>0.013762</v>
      </c>
      <c r="E12" t="n">
        <v>-0.125566</v>
      </c>
      <c r="F12" t="inlineStr">
        <is>
          <t>Acrola|11</t>
        </is>
      </c>
    </row>
    <row r="13">
      <c r="A13" t="inlineStr">
        <is>
          <t>Acrola</t>
        </is>
      </c>
      <c r="B13" t="inlineStr">
        <is>
          <t>Terressin</t>
        </is>
      </c>
      <c r="C13" t="inlineStr">
        <is>
          <t>Tibet</t>
        </is>
      </c>
      <c r="D13" t="n">
        <v>0.075999</v>
      </c>
      <c r="E13" t="n">
        <v>-0.04251</v>
      </c>
      <c r="F13" t="inlineStr">
        <is>
          <t>Acrola|12</t>
        </is>
      </c>
    </row>
    <row r="14">
      <c r="A14" t="inlineStr">
        <is>
          <t>Acrola</t>
        </is>
      </c>
      <c r="B14" t="inlineStr">
        <is>
          <t>Viussi</t>
        </is>
      </c>
      <c r="C14" t="inlineStr">
        <is>
          <t>Bukina Faso</t>
        </is>
      </c>
      <c r="D14" t="n">
        <v>-0.017899</v>
      </c>
      <c r="E14" t="n">
        <v>-0.132171</v>
      </c>
      <c r="F14" t="inlineStr">
        <is>
          <t>Acrola|13</t>
        </is>
      </c>
    </row>
    <row r="15">
      <c r="A15" t="inlineStr">
        <is>
          <t>Atirha</t>
        </is>
      </c>
      <c r="B15" t="inlineStr">
        <is>
          <t>Arbiya</t>
        </is>
      </c>
      <c r="C15" t="inlineStr">
        <is>
          <t>Vermont</t>
        </is>
      </c>
      <c r="D15" t="n">
        <v>-0.043414</v>
      </c>
      <c r="E15" t="n">
        <v>0.06729</v>
      </c>
      <c r="F15" t="inlineStr">
        <is>
          <t>Atirha|1</t>
        </is>
      </c>
    </row>
    <row r="16">
      <c r="A16" t="inlineStr">
        <is>
          <t>Atirha</t>
        </is>
      </c>
      <c r="B16" t="inlineStr">
        <is>
          <t>Curata</t>
        </is>
      </c>
      <c r="C16" t="inlineStr">
        <is>
          <t>Hondorus</t>
        </is>
      </c>
      <c r="D16" t="n">
        <v>0.07817399999999999</v>
      </c>
      <c r="E16" t="n">
        <v>-0.063904</v>
      </c>
      <c r="F16" t="inlineStr">
        <is>
          <t>Atirha|2</t>
        </is>
      </c>
    </row>
    <row r="17">
      <c r="A17" t="inlineStr">
        <is>
          <t>Atirha</t>
        </is>
      </c>
      <c r="B17" t="inlineStr">
        <is>
          <t>Disal Nila</t>
        </is>
      </c>
      <c r="C17" t="inlineStr">
        <is>
          <t>Canada</t>
        </is>
      </c>
      <c r="D17" t="n">
        <v>0.023607</v>
      </c>
      <c r="E17" t="n">
        <v>0.067838</v>
      </c>
      <c r="F17" t="inlineStr">
        <is>
          <t>Atirha|3</t>
        </is>
      </c>
    </row>
    <row r="18">
      <c r="A18" t="inlineStr">
        <is>
          <t>Atirha</t>
        </is>
      </c>
      <c r="B18" t="inlineStr">
        <is>
          <t>Fincen</t>
        </is>
      </c>
      <c r="C18" t="inlineStr">
        <is>
          <t>Costa Rica</t>
        </is>
      </c>
      <c r="D18" t="n">
        <v>0.09897</v>
      </c>
      <c r="E18" t="n">
        <v>-0.039546</v>
      </c>
      <c r="F18" t="inlineStr">
        <is>
          <t>Atirha|4</t>
        </is>
      </c>
    </row>
    <row r="19">
      <c r="A19" t="inlineStr">
        <is>
          <t>Atirha</t>
        </is>
      </c>
      <c r="B19" t="inlineStr">
        <is>
          <t>Gaeiya</t>
        </is>
      </c>
      <c r="C19" t="inlineStr">
        <is>
          <t>Canada</t>
        </is>
      </c>
      <c r="D19" t="n">
        <v>0.023607</v>
      </c>
      <c r="E19" t="n">
        <v>0.067838</v>
      </c>
      <c r="F19" t="inlineStr">
        <is>
          <t>Atirha|5</t>
        </is>
      </c>
    </row>
    <row r="20">
      <c r="A20" t="inlineStr">
        <is>
          <t>Atirha</t>
        </is>
      </c>
      <c r="B20" t="inlineStr">
        <is>
          <t>Genaire</t>
        </is>
      </c>
      <c r="C20" t="inlineStr">
        <is>
          <t>Canada</t>
        </is>
      </c>
      <c r="D20" t="n">
        <v>0.023607</v>
      </c>
      <c r="E20" t="n">
        <v>0.067838</v>
      </c>
      <c r="F20" t="inlineStr">
        <is>
          <t>Atirha|6</t>
        </is>
      </c>
    </row>
    <row r="21">
      <c r="A21" t="inlineStr">
        <is>
          <t>Atirha</t>
        </is>
      </c>
      <c r="B21" t="inlineStr">
        <is>
          <t>Laselteh</t>
        </is>
      </c>
      <c r="C21" t="inlineStr">
        <is>
          <t>Alaska</t>
        </is>
      </c>
      <c r="D21" t="n">
        <v>-0.043414</v>
      </c>
      <c r="E21" t="n">
        <v>0.06729</v>
      </c>
      <c r="F21" t="inlineStr">
        <is>
          <t>Atirha|7</t>
        </is>
      </c>
    </row>
    <row r="22">
      <c r="A22" t="inlineStr">
        <is>
          <t>Atirha</t>
        </is>
      </c>
      <c r="B22" t="inlineStr">
        <is>
          <t>New Misos</t>
        </is>
      </c>
      <c r="C22" t="inlineStr">
        <is>
          <t>Mexico</t>
        </is>
      </c>
      <c r="D22" t="n">
        <v>0.003672</v>
      </c>
      <c r="E22" t="n">
        <v>-0.057017</v>
      </c>
      <c r="F22" t="inlineStr">
        <is>
          <t>Atirha|8</t>
        </is>
      </c>
    </row>
    <row r="23">
      <c r="A23" t="inlineStr">
        <is>
          <t>Atirha</t>
        </is>
      </c>
      <c r="B23" t="inlineStr">
        <is>
          <t>Pelan</t>
        </is>
      </c>
      <c r="C23" t="inlineStr">
        <is>
          <t>Hati</t>
        </is>
      </c>
      <c r="D23" t="n">
        <v>-0.004779</v>
      </c>
      <c r="E23" t="n">
        <v>0.007123</v>
      </c>
      <c r="F23" t="inlineStr">
        <is>
          <t>Atirha|9</t>
        </is>
      </c>
    </row>
    <row r="24">
      <c r="A24" t="inlineStr">
        <is>
          <t>Atirha</t>
        </is>
      </c>
      <c r="B24" t="inlineStr">
        <is>
          <t>Phuris</t>
        </is>
      </c>
      <c r="C24" t="inlineStr">
        <is>
          <t>Philipines</t>
        </is>
      </c>
      <c r="D24" t="n">
        <v>0.006312</v>
      </c>
      <c r="E24" t="n">
        <v>0.022015</v>
      </c>
      <c r="F24" t="inlineStr">
        <is>
          <t>Atirha|10</t>
        </is>
      </c>
    </row>
    <row r="25">
      <c r="A25" t="inlineStr">
        <is>
          <t>Ayuma</t>
        </is>
      </c>
      <c r="B25" t="inlineStr">
        <is>
          <t>Acrana</t>
        </is>
      </c>
      <c r="C25" t="inlineStr">
        <is>
          <t>Armenia</t>
        </is>
      </c>
      <c r="D25" t="n">
        <v>0.036007</v>
      </c>
      <c r="E25" t="n">
        <v>0.071534</v>
      </c>
      <c r="F25" t="inlineStr">
        <is>
          <t>Ayuma|1</t>
        </is>
      </c>
    </row>
    <row r="26">
      <c r="A26" t="inlineStr">
        <is>
          <t>Ayuma</t>
        </is>
      </c>
      <c r="B26" t="inlineStr">
        <is>
          <t>Darewa</t>
        </is>
      </c>
      <c r="C26" t="inlineStr">
        <is>
          <t>Poland</t>
        </is>
      </c>
      <c r="D26" t="n">
        <v>0.013333</v>
      </c>
      <c r="E26" t="n">
        <v>0.09328599999999999</v>
      </c>
      <c r="F26" t="inlineStr">
        <is>
          <t>Ayuma|2</t>
        </is>
      </c>
    </row>
    <row r="27">
      <c r="A27" t="inlineStr">
        <is>
          <t>Ayuma</t>
        </is>
      </c>
      <c r="B27" t="inlineStr">
        <is>
          <t>Ealdorii</t>
        </is>
      </c>
      <c r="C27" t="inlineStr">
        <is>
          <t>Iraq</t>
        </is>
      </c>
      <c r="D27" t="n">
        <v>-0.023486</v>
      </c>
      <c r="E27" t="n">
        <v>-0.129554</v>
      </c>
      <c r="F27" t="inlineStr">
        <is>
          <t>Ayuma|3</t>
        </is>
      </c>
    </row>
    <row r="28">
      <c r="A28" t="inlineStr">
        <is>
          <t>Ayuma</t>
        </is>
      </c>
      <c r="B28" t="inlineStr">
        <is>
          <t>Easuhura</t>
        </is>
      </c>
      <c r="C28" t="inlineStr">
        <is>
          <t>Britan</t>
        </is>
      </c>
      <c r="D28" t="n">
        <v>0.01038</v>
      </c>
      <c r="E28" t="n">
        <v>0.08275100000000001</v>
      </c>
      <c r="F28" t="inlineStr">
        <is>
          <t>Ayuma|4</t>
        </is>
      </c>
    </row>
    <row r="29">
      <c r="A29" t="inlineStr">
        <is>
          <t>Ayuma</t>
        </is>
      </c>
      <c r="B29" t="inlineStr">
        <is>
          <t>Eldjo</t>
        </is>
      </c>
      <c r="C29" t="inlineStr">
        <is>
          <t>Switzerland</t>
        </is>
      </c>
      <c r="D29" t="n">
        <v>0.003681</v>
      </c>
      <c r="E29" t="n">
        <v>0.068595</v>
      </c>
      <c r="F29" t="inlineStr">
        <is>
          <t>Ayuma|5</t>
        </is>
      </c>
    </row>
    <row r="30">
      <c r="A30" t="inlineStr">
        <is>
          <t>Ayuma</t>
        </is>
      </c>
      <c r="B30" t="inlineStr">
        <is>
          <t>Fermori</t>
        </is>
      </c>
      <c r="C30" t="inlineStr">
        <is>
          <t>Estonia</t>
        </is>
      </c>
      <c r="D30" t="n">
        <v>0.001128</v>
      </c>
      <c r="E30" t="n">
        <v>0.090213</v>
      </c>
      <c r="F30" t="inlineStr">
        <is>
          <t>Ayuma|6</t>
        </is>
      </c>
    </row>
    <row r="31">
      <c r="A31" t="inlineStr">
        <is>
          <t>Ayuma</t>
        </is>
      </c>
      <c r="B31" t="inlineStr">
        <is>
          <t>Hkuqo</t>
        </is>
      </c>
      <c r="C31" t="inlineStr">
        <is>
          <t>Greek colony</t>
        </is>
      </c>
      <c r="D31" t="n">
        <v>0.057014</v>
      </c>
      <c r="E31" t="n">
        <v>0.059675</v>
      </c>
      <c r="F31" t="inlineStr">
        <is>
          <t>Ayuma|7</t>
        </is>
      </c>
    </row>
    <row r="32">
      <c r="A32" t="inlineStr">
        <is>
          <t>Ayuma</t>
        </is>
      </c>
      <c r="B32" t="inlineStr">
        <is>
          <t>Lydroa</t>
        </is>
      </c>
      <c r="C32" t="inlineStr">
        <is>
          <t>Belarus</t>
        </is>
      </c>
      <c r="D32" t="n">
        <v>-0.018533</v>
      </c>
      <c r="E32" t="n">
        <v>0.056668</v>
      </c>
      <c r="F32" t="inlineStr">
        <is>
          <t>Ayuma|8</t>
        </is>
      </c>
    </row>
    <row r="33">
      <c r="A33" t="inlineStr">
        <is>
          <t>Ayuma</t>
        </is>
      </c>
      <c r="B33" t="inlineStr">
        <is>
          <t>Merela Sta</t>
        </is>
      </c>
      <c r="C33" t="inlineStr">
        <is>
          <t>South Italy</t>
        </is>
      </c>
      <c r="D33" t="n">
        <v>0.042283</v>
      </c>
      <c r="E33" t="n">
        <v>-0.041733</v>
      </c>
      <c r="F33" t="inlineStr">
        <is>
          <t>Ayuma|9</t>
        </is>
      </c>
    </row>
    <row r="34">
      <c r="A34" t="inlineStr">
        <is>
          <t>Ayuma</t>
        </is>
      </c>
      <c r="B34" t="inlineStr">
        <is>
          <t>Palina</t>
        </is>
      </c>
      <c r="C34" t="inlineStr">
        <is>
          <t>Slovinia</t>
        </is>
      </c>
      <c r="D34" t="n">
        <v>0.030638</v>
      </c>
      <c r="E34" t="n">
        <v>0.0823</v>
      </c>
      <c r="F34" t="inlineStr">
        <is>
          <t>Ayuma|10</t>
        </is>
      </c>
    </row>
    <row r="35">
      <c r="A35" t="inlineStr">
        <is>
          <t>Ayuma</t>
        </is>
      </c>
      <c r="B35" t="inlineStr">
        <is>
          <t>Ukhdari</t>
        </is>
      </c>
      <c r="C35" t="inlineStr">
        <is>
          <t>North Iraq</t>
        </is>
      </c>
      <c r="D35" t="n">
        <v>-0.023486</v>
      </c>
      <c r="E35" t="n">
        <v>-0.129554</v>
      </c>
      <c r="F35" t="inlineStr">
        <is>
          <t>Ayuma|11</t>
        </is>
      </c>
    </row>
    <row r="36">
      <c r="A36" t="inlineStr">
        <is>
          <t>Ayuma</t>
        </is>
      </c>
      <c r="B36" t="inlineStr">
        <is>
          <t>Uularin</t>
        </is>
      </c>
      <c r="C36" t="inlineStr">
        <is>
          <t>Lithuania</t>
        </is>
      </c>
      <c r="D36" t="n">
        <v>-0.054478</v>
      </c>
      <c r="E36" t="n">
        <v>0.06975000000000001</v>
      </c>
      <c r="F36" t="inlineStr">
        <is>
          <t>Ayuma|12</t>
        </is>
      </c>
    </row>
    <row r="37">
      <c r="A37" t="inlineStr">
        <is>
          <t>Ayuma</t>
        </is>
      </c>
      <c r="B37" t="inlineStr">
        <is>
          <t>Yaxuto</t>
        </is>
      </c>
      <c r="C37" t="inlineStr">
        <is>
          <t>North Italy</t>
        </is>
      </c>
      <c r="D37" t="n">
        <v>0.042283</v>
      </c>
      <c r="E37" t="n">
        <v>-0.041733</v>
      </c>
      <c r="F37" t="inlineStr">
        <is>
          <t>Ayuma|13</t>
        </is>
      </c>
    </row>
    <row r="38">
      <c r="A38" t="inlineStr">
        <is>
          <t>Ayuma</t>
        </is>
      </c>
      <c r="B38" t="inlineStr">
        <is>
          <t>Zenashan</t>
        </is>
      </c>
      <c r="C38" t="inlineStr">
        <is>
          <t>Lebanon</t>
        </is>
      </c>
      <c r="D38" t="n">
        <v>0.093486</v>
      </c>
      <c r="E38" t="n">
        <v>-0.031532</v>
      </c>
      <c r="F38" t="inlineStr">
        <is>
          <t>Ayuma|14</t>
        </is>
      </c>
    </row>
    <row r="39">
      <c r="A39" t="inlineStr">
        <is>
          <t>Ayuma/Acrola</t>
        </is>
      </c>
      <c r="B39" t="inlineStr">
        <is>
          <t>Heiso</t>
        </is>
      </c>
      <c r="C39" t="inlineStr">
        <is>
          <t>Manchuria</t>
        </is>
      </c>
      <c r="D39" t="n">
        <v>0.075999</v>
      </c>
      <c r="E39" t="n">
        <v>-0.04251</v>
      </c>
      <c r="F39" t="inlineStr">
        <is>
          <t>Ayuma/Acrola|1</t>
        </is>
      </c>
    </row>
    <row r="40">
      <c r="A40" t="inlineStr">
        <is>
          <t>Mahea</t>
        </is>
      </c>
      <c r="B40" t="inlineStr">
        <is>
          <t>Chaenia</t>
        </is>
      </c>
      <c r="C40" t="inlineStr">
        <is>
          <t>Malaysia</t>
        </is>
      </c>
      <c r="D40" t="n">
        <v>-0.004008</v>
      </c>
      <c r="E40" t="n">
        <v>-0.062879</v>
      </c>
      <c r="F40" t="inlineStr">
        <is>
          <t>Mahea|1</t>
        </is>
      </c>
    </row>
    <row r="41">
      <c r="A41" t="inlineStr">
        <is>
          <t>Mahea</t>
        </is>
      </c>
      <c r="B41" t="inlineStr">
        <is>
          <t>Dual Cenryia</t>
        </is>
      </c>
      <c r="C41" t="inlineStr">
        <is>
          <t>Hungary</t>
        </is>
      </c>
      <c r="D41" t="n">
        <v>-0.015885</v>
      </c>
      <c r="E41" t="n">
        <v>0.027851</v>
      </c>
      <c r="F41" t="inlineStr">
        <is>
          <t>Mahea|2</t>
        </is>
      </c>
    </row>
    <row r="42">
      <c r="A42" t="inlineStr">
        <is>
          <t>Mahea</t>
        </is>
      </c>
      <c r="B42" t="inlineStr">
        <is>
          <t>Exilium</t>
        </is>
      </c>
      <c r="C42" t="inlineStr">
        <is>
          <t>Sweden</t>
        </is>
      </c>
      <c r="D42" t="n">
        <v>0.016028</v>
      </c>
      <c r="E42" t="n">
        <v>0.077302</v>
      </c>
      <c r="F42" t="inlineStr">
        <is>
          <t>Mahea|3</t>
        </is>
      </c>
    </row>
    <row r="43">
      <c r="A43" t="inlineStr">
        <is>
          <t>Mahea</t>
        </is>
      </c>
      <c r="B43" t="inlineStr">
        <is>
          <t>Galca</t>
        </is>
      </c>
      <c r="C43" t="inlineStr">
        <is>
          <t>Uzbekistan</t>
        </is>
      </c>
      <c r="D43" t="n">
        <v>0.059086</v>
      </c>
      <c r="E43" t="n">
        <v>0.12655</v>
      </c>
      <c r="F43" t="inlineStr">
        <is>
          <t>Mahea|4</t>
        </is>
      </c>
    </row>
    <row r="44">
      <c r="A44" t="inlineStr">
        <is>
          <t>Mahea</t>
        </is>
      </c>
      <c r="B44" t="inlineStr">
        <is>
          <t>Inania</t>
        </is>
      </c>
      <c r="C44" t="inlineStr">
        <is>
          <t>Ethiopia</t>
        </is>
      </c>
      <c r="D44" t="n">
        <v>0.058315</v>
      </c>
      <c r="E44" t="n">
        <v>-0.087769</v>
      </c>
      <c r="F44" t="inlineStr">
        <is>
          <t>Mahea|5</t>
        </is>
      </c>
    </row>
    <row r="45">
      <c r="A45" t="inlineStr">
        <is>
          <t>Mahea</t>
        </is>
      </c>
      <c r="B45" t="inlineStr">
        <is>
          <t>Isnti</t>
        </is>
      </c>
      <c r="C45" t="inlineStr">
        <is>
          <t>Turkey</t>
        </is>
      </c>
      <c r="D45" t="n">
        <v>0.020166</v>
      </c>
      <c r="E45" t="n">
        <v>-0.007089</v>
      </c>
      <c r="F45" t="inlineStr">
        <is>
          <t>Mahea|6</t>
        </is>
      </c>
    </row>
    <row r="46">
      <c r="A46" t="inlineStr">
        <is>
          <t>Mahea</t>
        </is>
      </c>
      <c r="B46" t="inlineStr">
        <is>
          <t>Lieri</t>
        </is>
      </c>
      <c r="C46" t="inlineStr">
        <is>
          <t>Bulgaria</t>
        </is>
      </c>
      <c r="D46" t="n">
        <v>-0.001633</v>
      </c>
      <c r="E46" t="n">
        <v>0.053354</v>
      </c>
      <c r="F46" t="inlineStr">
        <is>
          <t>Mahea|7</t>
        </is>
      </c>
    </row>
    <row r="47">
      <c r="A47" t="inlineStr">
        <is>
          <t>Mahea</t>
        </is>
      </c>
      <c r="B47" t="inlineStr">
        <is>
          <t>Otiiric</t>
        </is>
      </c>
      <c r="C47" t="inlineStr">
        <is>
          <t>Denmark</t>
        </is>
      </c>
      <c r="D47" t="n">
        <v>-0.010793</v>
      </c>
      <c r="E47" t="n">
        <v>0.086201</v>
      </c>
      <c r="F47" t="inlineStr">
        <is>
          <t>Mahea|8</t>
        </is>
      </c>
    </row>
    <row r="48">
      <c r="A48" t="inlineStr">
        <is>
          <t>Mahea</t>
        </is>
      </c>
      <c r="B48" t="inlineStr">
        <is>
          <t>Seytinemas</t>
        </is>
      </c>
      <c r="C48" t="inlineStr">
        <is>
          <t>Greece/Bulgaria</t>
        </is>
      </c>
      <c r="D48" t="n">
        <v>0.02769</v>
      </c>
      <c r="E48" t="n">
        <v>0.056515</v>
      </c>
      <c r="F48" t="inlineStr">
        <is>
          <t>Mahea|9</t>
        </is>
      </c>
    </row>
    <row r="49">
      <c r="A49" t="inlineStr">
        <is>
          <t>Mahea</t>
        </is>
      </c>
      <c r="B49" t="inlineStr">
        <is>
          <t>Sivoso</t>
        </is>
      </c>
      <c r="C49" t="inlineStr">
        <is>
          <t>Turkey</t>
        </is>
      </c>
      <c r="D49" t="n">
        <v>0.020166</v>
      </c>
      <c r="E49" t="n">
        <v>-0.007089</v>
      </c>
      <c r="F49" t="inlineStr">
        <is>
          <t>Mahea|10</t>
        </is>
      </c>
    </row>
    <row r="50">
      <c r="A50" t="inlineStr">
        <is>
          <t>Mahea</t>
        </is>
      </c>
      <c r="B50" t="inlineStr">
        <is>
          <t>Sunsokua</t>
        </is>
      </c>
      <c r="C50" t="inlineStr">
        <is>
          <t>Korea</t>
        </is>
      </c>
      <c r="D50" t="n">
        <v>0.048663</v>
      </c>
      <c r="E50" t="n">
        <v>0.038869</v>
      </c>
      <c r="F50" t="inlineStr">
        <is>
          <t>Mahea|11</t>
        </is>
      </c>
    </row>
    <row r="51">
      <c r="A51" t="inlineStr">
        <is>
          <t>Mahea</t>
        </is>
      </c>
      <c r="B51" t="inlineStr">
        <is>
          <t>Trian</t>
        </is>
      </c>
      <c r="C51" t="inlineStr">
        <is>
          <t>Greece</t>
        </is>
      </c>
      <c r="D51" t="n">
        <v>0.057014</v>
      </c>
      <c r="E51" t="n">
        <v>0.059675</v>
      </c>
      <c r="F51" t="inlineStr">
        <is>
          <t>Mahea|12</t>
        </is>
      </c>
    </row>
    <row r="52">
      <c r="A52" t="inlineStr">
        <is>
          <t>Massir</t>
        </is>
      </c>
      <c r="B52" t="inlineStr">
        <is>
          <t>Etretes</t>
        </is>
      </c>
      <c r="C52" t="inlineStr">
        <is>
          <t>Cyprus/Israle</t>
        </is>
      </c>
      <c r="D52" t="n">
        <v>0.050238</v>
      </c>
      <c r="E52" t="n">
        <v>0.011282</v>
      </c>
      <c r="F52" t="inlineStr">
        <is>
          <t>Massir|1</t>
        </is>
      </c>
    </row>
    <row r="53">
      <c r="A53" t="inlineStr">
        <is>
          <t>Massir</t>
        </is>
      </c>
      <c r="B53" t="inlineStr">
        <is>
          <t>Haiza</t>
        </is>
      </c>
      <c r="C53" t="inlineStr">
        <is>
          <t>Greek colony</t>
        </is>
      </c>
      <c r="D53" t="n">
        <v>0.057014</v>
      </c>
      <c r="E53" t="n">
        <v>0.059675</v>
      </c>
      <c r="F53" t="inlineStr">
        <is>
          <t>Massir|2</t>
        </is>
      </c>
    </row>
    <row r="54">
      <c r="A54" t="inlineStr">
        <is>
          <t>Massir</t>
        </is>
      </c>
      <c r="B54" t="inlineStr">
        <is>
          <t>Kaastini</t>
        </is>
      </c>
      <c r="C54" t="inlineStr">
        <is>
          <t>Mongolia</t>
        </is>
      </c>
      <c r="D54" t="n">
        <v>-0.036461</v>
      </c>
      <c r="E54" t="n">
        <v>0.087385</v>
      </c>
      <c r="F54" t="inlineStr">
        <is>
          <t>Massir|3</t>
        </is>
      </c>
    </row>
    <row r="55">
      <c r="A55" t="inlineStr">
        <is>
          <t>Massir</t>
        </is>
      </c>
      <c r="B55" t="inlineStr">
        <is>
          <t>Kusierna</t>
        </is>
      </c>
      <c r="C55" t="inlineStr">
        <is>
          <t>Finland</t>
        </is>
      </c>
      <c r="D55" t="n">
        <v>0.01263</v>
      </c>
      <c r="E55" t="n">
        <v>0.088463</v>
      </c>
      <c r="F55" t="inlineStr">
        <is>
          <t>Massir|4</t>
        </is>
      </c>
    </row>
    <row r="56">
      <c r="A56" t="inlineStr">
        <is>
          <t>Massir</t>
        </is>
      </c>
      <c r="B56" t="inlineStr">
        <is>
          <t>North Ayre</t>
        </is>
      </c>
      <c r="C56" t="inlineStr">
        <is>
          <t>Part of Indonesia</t>
        </is>
      </c>
      <c r="D56" t="n">
        <v>-0.011179</v>
      </c>
      <c r="E56" t="n">
        <v>-0.003109</v>
      </c>
      <c r="F56" t="inlineStr">
        <is>
          <t>Massir|5</t>
        </is>
      </c>
    </row>
    <row r="57">
      <c r="A57" t="inlineStr">
        <is>
          <t>Massir</t>
        </is>
      </c>
      <c r="B57" t="inlineStr">
        <is>
          <t>Oscairia</t>
        </is>
      </c>
      <c r="C57" t="inlineStr">
        <is>
          <t>Cameroon</t>
        </is>
      </c>
      <c r="D57" t="n">
        <v>-0.085975</v>
      </c>
      <c r="E57" t="n">
        <v>0.022756</v>
      </c>
      <c r="F57" t="inlineStr">
        <is>
          <t>Massir|6</t>
        </is>
      </c>
    </row>
    <row r="58">
      <c r="A58" t="inlineStr">
        <is>
          <t>Massir</t>
        </is>
      </c>
      <c r="B58" t="inlineStr">
        <is>
          <t>Oyreain</t>
        </is>
      </c>
      <c r="C58" t="inlineStr">
        <is>
          <t>Indonesia</t>
        </is>
      </c>
      <c r="D58" t="n">
        <v>-0.011179</v>
      </c>
      <c r="E58" t="n">
        <v>-0.003109</v>
      </c>
      <c r="F58" t="inlineStr">
        <is>
          <t>Massir|7</t>
        </is>
      </c>
    </row>
    <row r="59">
      <c r="A59" t="inlineStr">
        <is>
          <t>Massir</t>
        </is>
      </c>
      <c r="B59" t="inlineStr">
        <is>
          <t>Pha Hii</t>
        </is>
      </c>
      <c r="C59" t="inlineStr">
        <is>
          <t>Hong Kong</t>
        </is>
      </c>
      <c r="D59" t="n">
        <v>0.042719</v>
      </c>
      <c r="E59" t="n">
        <v>0.021169</v>
      </c>
      <c r="F59" t="inlineStr">
        <is>
          <t>Massir|8</t>
        </is>
      </c>
    </row>
    <row r="60">
      <c r="A60" t="inlineStr">
        <is>
          <t>Massir</t>
        </is>
      </c>
      <c r="B60" t="inlineStr">
        <is>
          <t>Ruylku</t>
        </is>
      </c>
      <c r="C60" t="inlineStr">
        <is>
          <t>Figi</t>
        </is>
      </c>
      <c r="D60" t="n">
        <v>-0.06232</v>
      </c>
      <c r="E60" t="n">
        <v>0.06365899999999999</v>
      </c>
      <c r="F60" t="inlineStr">
        <is>
          <t>Massir|9</t>
        </is>
      </c>
    </row>
    <row r="61">
      <c r="A61" t="inlineStr">
        <is>
          <t>Massir</t>
        </is>
      </c>
      <c r="B61" t="inlineStr">
        <is>
          <t>Suenan</t>
        </is>
      </c>
      <c r="C61" t="inlineStr">
        <is>
          <t>Korea</t>
        </is>
      </c>
      <c r="D61" t="n">
        <v>0.048663</v>
      </c>
      <c r="E61" t="n">
        <v>0.038869</v>
      </c>
      <c r="F61" t="inlineStr">
        <is>
          <t>Massir|10</t>
        </is>
      </c>
    </row>
    <row r="62">
      <c r="A62" t="inlineStr">
        <is>
          <t>Massir</t>
        </is>
      </c>
      <c r="B62" t="inlineStr">
        <is>
          <t>Ucrua</t>
        </is>
      </c>
      <c r="C62" t="inlineStr">
        <is>
          <t>South Africa</t>
        </is>
      </c>
      <c r="D62" t="n">
        <v>-0.116813</v>
      </c>
      <c r="E62" t="n">
        <v>0.072964</v>
      </c>
      <c r="F62" t="inlineStr">
        <is>
          <t>Massir|11</t>
        </is>
      </c>
    </row>
    <row r="63">
      <c r="A63" t="inlineStr">
        <is>
          <t>Massir</t>
        </is>
      </c>
      <c r="B63" t="inlineStr">
        <is>
          <t>Vesozata</t>
        </is>
      </c>
      <c r="C63" t="inlineStr">
        <is>
          <t>Russia</t>
        </is>
      </c>
      <c r="D63" t="n">
        <v>-0.100826</v>
      </c>
      <c r="E63" t="n">
        <v>0.017096</v>
      </c>
      <c r="F63" t="inlineStr">
        <is>
          <t>Massir|12</t>
        </is>
      </c>
    </row>
    <row r="64">
      <c r="A64" t="inlineStr">
        <is>
          <t>New Ayre</t>
        </is>
      </c>
      <c r="B64" t="inlineStr">
        <is>
          <t>Astye</t>
        </is>
      </c>
      <c r="C64" t="inlineStr">
        <is>
          <t>Argentina</t>
        </is>
      </c>
      <c r="D64" t="n">
        <v>0.009235</v>
      </c>
      <c r="E64" t="n">
        <v>0.071316</v>
      </c>
      <c r="F64" t="inlineStr">
        <is>
          <t>New Ayre|1</t>
        </is>
      </c>
    </row>
    <row r="65">
      <c r="A65" t="inlineStr">
        <is>
          <t>New Ayre</t>
        </is>
      </c>
      <c r="B65" t="inlineStr">
        <is>
          <t>Iainoa</t>
        </is>
      </c>
      <c r="C65" t="inlineStr">
        <is>
          <t>Inca/preu</t>
        </is>
      </c>
      <c r="D65" t="n">
        <v>0.060531</v>
      </c>
      <c r="E65" t="n">
        <v>0.031221</v>
      </c>
      <c r="F65" t="inlineStr">
        <is>
          <t>New Ayre|2</t>
        </is>
      </c>
    </row>
    <row r="66">
      <c r="A66" t="inlineStr">
        <is>
          <t>New Ayre</t>
        </is>
      </c>
      <c r="B66" t="inlineStr">
        <is>
          <t>Isari</t>
        </is>
      </c>
      <c r="C66" t="inlineStr">
        <is>
          <t>Peru</t>
        </is>
      </c>
      <c r="D66" t="n">
        <v>0.060531</v>
      </c>
      <c r="E66" t="n">
        <v>0.031221</v>
      </c>
      <c r="F66" t="inlineStr">
        <is>
          <t>New Ayre|3</t>
        </is>
      </c>
    </row>
    <row r="67">
      <c r="A67" t="inlineStr">
        <is>
          <t>New Ayre</t>
        </is>
      </c>
      <c r="B67" t="inlineStr">
        <is>
          <t>Maalle</t>
        </is>
      </c>
      <c r="C67" t="inlineStr">
        <is>
          <t>Bolivia</t>
        </is>
      </c>
      <c r="D67" t="n">
        <v>-0.028229</v>
      </c>
      <c r="E67" t="n">
        <v>0.09386799999999999</v>
      </c>
      <c r="F67" t="inlineStr">
        <is>
          <t>New Ayre|4</t>
        </is>
      </c>
    </row>
    <row r="68">
      <c r="A68" t="inlineStr">
        <is>
          <t>New Ayre</t>
        </is>
      </c>
      <c r="B68" t="inlineStr">
        <is>
          <t>Mendereide</t>
        </is>
      </c>
      <c r="C68" t="inlineStr">
        <is>
          <t>Bolivia</t>
        </is>
      </c>
      <c r="D68" t="n">
        <v>-0.028229</v>
      </c>
      <c r="E68" t="n">
        <v>0.09386799999999999</v>
      </c>
      <c r="F68" t="inlineStr">
        <is>
          <t>New Ayre|5</t>
        </is>
      </c>
    </row>
    <row r="69">
      <c r="A69" t="inlineStr">
        <is>
          <t>New Ayre</t>
        </is>
      </c>
      <c r="B69" t="inlineStr">
        <is>
          <t>Nia</t>
        </is>
      </c>
      <c r="C69" t="inlineStr">
        <is>
          <t>Gyuana</t>
        </is>
      </c>
      <c r="D69" t="n">
        <v>-0.040293</v>
      </c>
      <c r="E69" t="n">
        <v>-0.035325</v>
      </c>
      <c r="F69" t="inlineStr">
        <is>
          <t>New Ayre|6</t>
        </is>
      </c>
    </row>
    <row r="70">
      <c r="A70" t="inlineStr">
        <is>
          <t>New Ayre</t>
        </is>
      </c>
      <c r="B70" t="inlineStr">
        <is>
          <t>Ohtina</t>
        </is>
      </c>
      <c r="C70" t="inlineStr">
        <is>
          <t>Chile</t>
        </is>
      </c>
      <c r="D70" t="n">
        <v>0.06574000000000001</v>
      </c>
      <c r="E70" t="n">
        <v>0.020623</v>
      </c>
      <c r="F70" t="inlineStr">
        <is>
          <t>New Ayre|7</t>
        </is>
      </c>
    </row>
    <row r="71">
      <c r="A71" t="inlineStr">
        <is>
          <t>New Ayre</t>
        </is>
      </c>
      <c r="B71" t="inlineStr">
        <is>
          <t>Prstreula</t>
        </is>
      </c>
      <c r="C71" t="inlineStr">
        <is>
          <t>Peru</t>
        </is>
      </c>
      <c r="D71" t="n">
        <v>0.060531</v>
      </c>
      <c r="E71" t="n">
        <v>0.031221</v>
      </c>
      <c r="F71" t="inlineStr">
        <is>
          <t>New Ayre|8</t>
        </is>
      </c>
    </row>
    <row r="72">
      <c r="A72" t="inlineStr">
        <is>
          <t>New Ayre</t>
        </is>
      </c>
      <c r="B72" t="inlineStr">
        <is>
          <t>Umarcia</t>
        </is>
      </c>
      <c r="C72" t="inlineStr">
        <is>
          <t>Ecuador</t>
        </is>
      </c>
      <c r="D72" t="n">
        <v>0.07028</v>
      </c>
      <c r="E72" t="n">
        <v>0.021117</v>
      </c>
      <c r="F72" t="inlineStr">
        <is>
          <t>New Ayre|9</t>
        </is>
      </c>
    </row>
    <row r="73">
      <c r="A73" t="inlineStr">
        <is>
          <t>Quia</t>
        </is>
      </c>
      <c r="B73" t="inlineStr">
        <is>
          <t>Ahokini</t>
        </is>
      </c>
      <c r="C73" t="inlineStr">
        <is>
          <t>Taiwan</t>
        </is>
      </c>
      <c r="D73" t="n">
        <v>0.048663</v>
      </c>
      <c r="E73" t="n">
        <v>0.038869</v>
      </c>
      <c r="F73" t="inlineStr">
        <is>
          <t>Quia|1</t>
        </is>
      </c>
    </row>
    <row r="74">
      <c r="A74" t="inlineStr">
        <is>
          <t>Quia</t>
        </is>
      </c>
      <c r="B74" t="inlineStr">
        <is>
          <t>Desaki</t>
        </is>
      </c>
      <c r="C74" t="inlineStr">
        <is>
          <t>Sweden</t>
        </is>
      </c>
      <c r="D74" t="n">
        <v>0.016028</v>
      </c>
      <c r="E74" t="n">
        <v>0.077302</v>
      </c>
      <c r="F74" t="inlineStr">
        <is>
          <t>Quia|2</t>
        </is>
      </c>
    </row>
    <row r="75">
      <c r="A75" t="inlineStr">
        <is>
          <t>Quia</t>
        </is>
      </c>
      <c r="B75" t="inlineStr">
        <is>
          <t>Erkizil</t>
        </is>
      </c>
      <c r="C75" t="inlineStr">
        <is>
          <t>South India</t>
        </is>
      </c>
      <c r="D75" t="n">
        <v>0.032359</v>
      </c>
      <c r="E75" t="n">
        <v>-0.037852</v>
      </c>
      <c r="F75" t="inlineStr">
        <is>
          <t>Quia|3</t>
        </is>
      </c>
    </row>
    <row r="76">
      <c r="A76" t="inlineStr">
        <is>
          <t>Quia</t>
        </is>
      </c>
      <c r="B76" t="inlineStr">
        <is>
          <t>Iareva</t>
        </is>
      </c>
      <c r="C76" t="inlineStr">
        <is>
          <t>Norway</t>
        </is>
      </c>
      <c r="D76" t="n">
        <v>-0.00825</v>
      </c>
      <c r="E76" t="n">
        <v>0.08230700000000001</v>
      </c>
      <c r="F76" t="inlineStr">
        <is>
          <t>Quia|4</t>
        </is>
      </c>
    </row>
    <row r="77">
      <c r="A77" t="inlineStr">
        <is>
          <t>Quia</t>
        </is>
      </c>
      <c r="B77" t="inlineStr">
        <is>
          <t>Myla</t>
        </is>
      </c>
      <c r="C77" t="inlineStr">
        <is>
          <t>Thailand</t>
        </is>
      </c>
      <c r="D77" t="n">
        <v>0.051207</v>
      </c>
      <c r="E77" t="n">
        <v>0.006276</v>
      </c>
      <c r="F77" t="inlineStr">
        <is>
          <t>Quia|5</t>
        </is>
      </c>
    </row>
    <row r="78">
      <c r="A78" t="inlineStr">
        <is>
          <t>Quia</t>
        </is>
      </c>
      <c r="B78" t="inlineStr">
        <is>
          <t>Nheyes Si</t>
        </is>
      </c>
      <c r="C78" t="inlineStr">
        <is>
          <t>Laos</t>
        </is>
      </c>
      <c r="D78" t="n">
        <v>-0.004965</v>
      </c>
      <c r="E78" t="n">
        <v>-0.069409</v>
      </c>
      <c r="F78" t="inlineStr">
        <is>
          <t>Quia|6</t>
        </is>
      </c>
    </row>
    <row r="79">
      <c r="A79" t="inlineStr">
        <is>
          <t>Quia</t>
        </is>
      </c>
      <c r="B79" t="inlineStr">
        <is>
          <t>Onphello</t>
        </is>
      </c>
      <c r="C79" t="inlineStr">
        <is>
          <t>Nepal</t>
        </is>
      </c>
      <c r="D79" t="n">
        <v>0.049101</v>
      </c>
      <c r="E79" t="n">
        <v>-0.010553</v>
      </c>
      <c r="F79" t="inlineStr">
        <is>
          <t>Quia|7</t>
        </is>
      </c>
    </row>
    <row r="80">
      <c r="A80" t="inlineStr">
        <is>
          <t>Quia</t>
        </is>
      </c>
      <c r="B80" t="inlineStr">
        <is>
          <t>Quidic</t>
        </is>
      </c>
      <c r="C80" t="inlineStr">
        <is>
          <t>Bangledesh</t>
        </is>
      </c>
      <c r="D80" t="n">
        <v>0.062806</v>
      </c>
      <c r="E80" t="n">
        <v>-0.040951</v>
      </c>
      <c r="F80" t="inlineStr">
        <is>
          <t>Quia|8</t>
        </is>
      </c>
    </row>
    <row r="81">
      <c r="A81" t="inlineStr">
        <is>
          <t>Quia</t>
        </is>
      </c>
      <c r="B81" t="inlineStr">
        <is>
          <t>United Mihili</t>
        </is>
      </c>
      <c r="C81" t="inlineStr">
        <is>
          <t>Central Asia</t>
        </is>
      </c>
      <c r="D81" t="n">
        <v>0.010879</v>
      </c>
      <c r="E81" t="n">
        <v>0.105203</v>
      </c>
      <c r="F81" t="inlineStr">
        <is>
          <t>Quia|9</t>
        </is>
      </c>
    </row>
    <row r="82">
      <c r="A82" t="inlineStr">
        <is>
          <t>Quia</t>
        </is>
      </c>
      <c r="B82" t="inlineStr">
        <is>
          <t>Verste</t>
        </is>
      </c>
      <c r="C82" t="inlineStr">
        <is>
          <t>Arabia</t>
        </is>
      </c>
      <c r="D82" t="n">
        <v>-0.034619</v>
      </c>
      <c r="E82" t="n">
        <v>-0.088571</v>
      </c>
      <c r="F82" t="inlineStr">
        <is>
          <t>Quia|10</t>
        </is>
      </c>
    </row>
    <row r="83">
      <c r="A83" t="inlineStr">
        <is>
          <t>Quia</t>
        </is>
      </c>
      <c r="B83" t="inlineStr">
        <is>
          <t>Volver</t>
        </is>
      </c>
      <c r="C83" t="inlineStr">
        <is>
          <t>Cambodia</t>
        </is>
      </c>
      <c r="D83" t="n">
        <v>0.084914</v>
      </c>
      <c r="E83" t="n">
        <v>-0.045287</v>
      </c>
      <c r="F83" t="inlineStr">
        <is>
          <t>Quia|11</t>
        </is>
      </c>
    </row>
    <row r="84">
      <c r="A84" t="inlineStr">
        <is>
          <t>Quia</t>
        </is>
      </c>
      <c r="B84" t="inlineStr">
        <is>
          <t>Wundry</t>
        </is>
      </c>
      <c r="C84" t="inlineStr">
        <is>
          <t>Pakistan</t>
        </is>
      </c>
      <c r="D84" t="n">
        <v>0.002918</v>
      </c>
      <c r="E84" t="n">
        <v>-0.161319</v>
      </c>
      <c r="F84" t="inlineStr">
        <is>
          <t>Quia|12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2026-08-17T10:41:49Z</dcterms:created>
  <dcterms:modified xsi:type="dcterms:W3CDTF">2026-08-17T10:41:49Z</dcterms:modified>
</cp:coreProperties>
</file>