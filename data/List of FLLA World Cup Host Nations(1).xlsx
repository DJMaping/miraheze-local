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 of FLLA World Cup Host 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-d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181A1B"/>
      <scheme val="minor"/>
    </font>
    <font>
      <name val="Arial"/>
      <color theme="1"/>
    </font>
    <font>
      <name val="Roboto"/>
      <color rgb="FF434343"/>
    </font>
    <font>
      <name val="Roboto"/>
      <color rgb="FF181A1B"/>
    </font>
  </fonts>
  <fills count="4">
    <fill>
      <patternFill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164" fontId="4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64" fontId="5" fillId="3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5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0" fontId="0" fillId="0" borderId="0" pivotButton="0" quotePrefix="0" xfId="0"/>
    <xf numFmtId="49" fontId="5" fillId="2" borderId="1" applyAlignment="1" pivotButton="0" quotePrefix="0" xfId="0">
      <alignment horizontal="center" vertical="center"/>
    </xf>
    <xf numFmtId="49" fontId="5" fillId="3" borderId="2" applyAlignment="1" pivotButton="0" quotePrefix="0" xfId="0">
      <alignment horizontal="center" vertical="center"/>
    </xf>
    <xf numFmtId="49" fontId="5" fillId="3" borderId="3" applyAlignment="1" pivotButton="0" quotePrefix="0" xfId="0">
      <alignment horizontal="center"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List of FLLA World Cup Host Na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List_of_FLLA_World_Cup_Host_Nationsble1" displayName="TaList_of_FLLA_World_Cup_Host_Nationsble1" ref="A1:I32" headerRowCount="1">
  <tableColumns count="9">
    <tableColumn id="1" name="Earth"/>
    <tableColumn id="2" name="Andah"/>
    <tableColumn id="3" name="Continent"/>
    <tableColumn id="4" name="Host"/>
    <tableColumn id="5" name="Winner"/>
    <tableColumn id="6" name="Score"/>
    <tableColumn id="7" name="Runner-up"/>
    <tableColumn id="8" name="Notes"/>
    <tableColumn id="9" name="Number of Teams"/>
  </tableColumns>
  <tableStyleInfo name="List of FLLA World Cup Host Nat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7.75" customWidth="1" style="34" min="1" max="1"/>
    <col width="7.63" customWidth="1" style="34" min="2" max="2"/>
    <col width="13.25" customWidth="1" style="34" min="3" max="3"/>
    <col width="12.63" customWidth="1" style="34" min="4" max="4"/>
    <col width="11.75" customWidth="1" style="34" min="5" max="5"/>
    <col width="2.88" customWidth="1" style="34" min="6" max="6"/>
    <col width="14.75" customWidth="1" style="34" min="7" max="7"/>
    <col width="22.63" customWidth="1" style="34" min="8" max="8"/>
  </cols>
  <sheetData>
    <row r="1" ht="22.5" customHeight="1" s="34">
      <c r="A1" s="14" t="inlineStr">
        <is>
          <t>Earth</t>
        </is>
      </c>
      <c r="B1" s="14" t="inlineStr">
        <is>
          <t>Andah</t>
        </is>
      </c>
      <c r="C1" s="27" t="inlineStr">
        <is>
          <t>Continent</t>
        </is>
      </c>
      <c r="D1" s="14" t="inlineStr">
        <is>
          <t>Host</t>
        </is>
      </c>
      <c r="E1" s="25" t="inlineStr">
        <is>
          <t>Winner</t>
        </is>
      </c>
      <c r="F1" s="10" t="inlineStr">
        <is>
          <t>Score</t>
        </is>
      </c>
      <c r="G1" s="27" t="inlineStr">
        <is>
          <t>Runner-up</t>
        </is>
      </c>
      <c r="H1" s="14" t="inlineStr">
        <is>
          <t>Notes</t>
        </is>
      </c>
      <c r="I1" s="14" t="inlineStr">
        <is>
          <t>Number of Teams</t>
        </is>
      </c>
    </row>
    <row r="2" ht="22.5" customHeight="1" s="34">
      <c r="A2" s="14">
        <f>SUM(B2+250)</f>
        <v/>
      </c>
      <c r="B2" s="14">
        <f>SUM(B3+4)</f>
        <v/>
      </c>
      <c r="C2" s="9" t="inlineStr">
        <is>
          <t>Quia</t>
        </is>
      </c>
      <c r="D2" s="10" t="inlineStr">
        <is>
          <t>Ahokini+Ashain</t>
        </is>
      </c>
      <c r="E2" s="11" t="inlineStr">
        <is>
          <t>TBD</t>
        </is>
      </c>
      <c r="F2" s="12" t="n"/>
      <c r="G2" s="21" t="inlineStr">
        <is>
          <t>TBD</t>
        </is>
      </c>
      <c r="H2" s="14" t="n"/>
      <c r="I2" s="10" t="n">
        <v>32</v>
      </c>
    </row>
    <row r="3" ht="22.5" customHeight="1" s="34">
      <c r="A3" s="14">
        <f>SUM(B3+250)</f>
        <v/>
      </c>
      <c r="B3" s="14">
        <f>SUM(B4+4)</f>
        <v/>
      </c>
      <c r="C3" s="9" t="inlineStr">
        <is>
          <t>Mahea</t>
        </is>
      </c>
      <c r="D3" s="14" t="inlineStr">
        <is>
          <t>Pelugrotoa</t>
        </is>
      </c>
      <c r="E3" s="11" t="inlineStr">
        <is>
          <t>TBD</t>
        </is>
      </c>
      <c r="F3" s="12" t="n"/>
      <c r="G3" s="21" t="inlineStr">
        <is>
          <t>TBD</t>
        </is>
      </c>
      <c r="H3" s="14" t="n"/>
      <c r="I3" s="10" t="n">
        <v>32</v>
      </c>
    </row>
    <row r="4" ht="22.5" customHeight="1" s="34">
      <c r="A4" s="14">
        <f>SUM(B4+250)</f>
        <v/>
      </c>
      <c r="B4" s="14">
        <f>SUM(B5+4)</f>
        <v/>
      </c>
      <c r="C4" s="9" t="inlineStr">
        <is>
          <t>Massir</t>
        </is>
      </c>
      <c r="D4" s="10" t="inlineStr">
        <is>
          <t>Sanagara</t>
        </is>
      </c>
      <c r="E4" s="11" t="inlineStr">
        <is>
          <t>TBD</t>
        </is>
      </c>
      <c r="F4" s="12" t="n"/>
      <c r="G4" s="21" t="inlineStr">
        <is>
          <t>TBD</t>
        </is>
      </c>
      <c r="H4" s="14" t="n"/>
      <c r="I4" s="10" t="n">
        <v>32</v>
      </c>
    </row>
    <row r="5" ht="22.5" customHeight="1" s="34">
      <c r="A5" s="14">
        <f>SUM(B5+250)</f>
        <v/>
      </c>
      <c r="B5" s="10" t="n">
        <v>1764</v>
      </c>
      <c r="C5" s="9" t="inlineStr">
        <is>
          <t>Atirha</t>
        </is>
      </c>
      <c r="D5" s="10" t="inlineStr">
        <is>
          <t>Raledria</t>
        </is>
      </c>
      <c r="E5" s="15" t="inlineStr">
        <is>
          <t>Easuhura</t>
        </is>
      </c>
      <c r="F5" s="10" t="inlineStr">
        <is>
          <t>2-1</t>
        </is>
      </c>
      <c r="G5" s="16" t="inlineStr">
        <is>
          <t>Emara</t>
        </is>
      </c>
      <c r="H5" s="10" t="inlineStr">
        <is>
          <t>The Miracle of Rovik</t>
        </is>
      </c>
      <c r="I5" s="10" t="n">
        <v>32</v>
      </c>
    </row>
    <row r="6" ht="22.5" customHeight="1" s="34">
      <c r="A6" s="14">
        <f>SUM(B6+250)</f>
        <v/>
      </c>
      <c r="B6" s="14">
        <f>sum(B5-4)</f>
        <v/>
      </c>
      <c r="C6" s="9" t="inlineStr">
        <is>
          <t>Ayuma</t>
        </is>
      </c>
      <c r="D6" s="14" t="inlineStr">
        <is>
          <t>Ukhdari</t>
        </is>
      </c>
      <c r="E6" s="15" t="inlineStr">
        <is>
          <t>Verusa</t>
        </is>
      </c>
      <c r="F6" s="17" t="n">
        <v>46054</v>
      </c>
      <c r="G6" s="16" t="inlineStr">
        <is>
          <t>Darewa</t>
        </is>
      </c>
      <c r="H6" s="10" t="n"/>
      <c r="I6" s="10" t="n">
        <v>32</v>
      </c>
    </row>
    <row r="7" ht="22.5" customHeight="1" s="34">
      <c r="A7" s="14">
        <f>SUM(B7+250)</f>
        <v/>
      </c>
      <c r="B7" s="14">
        <f>sum(B6-4)</f>
        <v/>
      </c>
      <c r="C7" s="9" t="inlineStr">
        <is>
          <t>Quia</t>
        </is>
      </c>
      <c r="D7" s="14" t="inlineStr">
        <is>
          <t>Erkizil+Quidic+Wundry+Ztesh</t>
        </is>
      </c>
      <c r="E7" s="15" t="inlineStr">
        <is>
          <t>Quidic</t>
        </is>
      </c>
      <c r="F7" s="10" t="inlineStr">
        <is>
          <t>1-0</t>
        </is>
      </c>
      <c r="G7" s="27" t="inlineStr">
        <is>
          <t>New Misos</t>
        </is>
      </c>
      <c r="H7" s="10" t="inlineStr">
        <is>
          <t>First held in Quia</t>
        </is>
      </c>
      <c r="I7" s="10" t="n">
        <v>32</v>
      </c>
    </row>
    <row r="8" ht="22.5" customHeight="1" s="34">
      <c r="A8" s="14">
        <f>SUM(B8+250)</f>
        <v/>
      </c>
      <c r="B8" s="14">
        <f>sum(B7-4)</f>
        <v/>
      </c>
      <c r="C8" s="9" t="inlineStr">
        <is>
          <t>New Ayre</t>
        </is>
      </c>
      <c r="D8" s="14" t="inlineStr">
        <is>
          <t>United Delet</t>
        </is>
      </c>
      <c r="E8" s="25" t="inlineStr">
        <is>
          <t>Praesyu</t>
        </is>
      </c>
      <c r="F8" s="20" t="n">
        <v>46023</v>
      </c>
      <c r="G8" s="16" t="inlineStr">
        <is>
          <t>Verusa</t>
        </is>
      </c>
      <c r="H8" s="21" t="inlineStr">
        <is>
          <t>Praesyu won 5-4 on penalties</t>
        </is>
      </c>
      <c r="I8" s="10" t="n">
        <v>32</v>
      </c>
    </row>
    <row r="9" ht="22.5" customHeight="1" s="34">
      <c r="A9" s="14">
        <f>SUM(B9+250)</f>
        <v/>
      </c>
      <c r="B9" s="14">
        <f>sum(B8-4)</f>
        <v/>
      </c>
      <c r="C9" s="9" t="inlineStr">
        <is>
          <t>Atirha</t>
        </is>
      </c>
      <c r="D9" s="14" t="inlineStr">
        <is>
          <t>New Misos</t>
        </is>
      </c>
      <c r="E9" s="25" t="inlineStr">
        <is>
          <t>New Misos</t>
        </is>
      </c>
      <c r="F9" s="17" t="n">
        <v>46115</v>
      </c>
      <c r="G9" s="27" t="inlineStr">
        <is>
          <t>Seytinemas</t>
        </is>
      </c>
      <c r="H9" s="10" t="inlineStr">
        <is>
          <t>"Greatest WC in History"</t>
        </is>
      </c>
      <c r="I9" s="10" t="n">
        <v>32</v>
      </c>
    </row>
    <row r="10" ht="22.5" customHeight="1" s="34">
      <c r="A10" s="14">
        <f>SUM(B10+250)</f>
        <v/>
      </c>
      <c r="B10" s="14">
        <f>sum(B9-4)</f>
        <v/>
      </c>
      <c r="C10" s="9" t="inlineStr">
        <is>
          <t>Ayuma</t>
        </is>
      </c>
      <c r="D10" s="14" t="inlineStr">
        <is>
          <t>Lycroa</t>
        </is>
      </c>
      <c r="E10" s="25" t="inlineStr">
        <is>
          <t>Lycroa</t>
        </is>
      </c>
      <c r="F10" s="14" t="inlineStr">
        <is>
          <t>0-0</t>
        </is>
      </c>
      <c r="G10" s="16" t="inlineStr">
        <is>
          <t>Easuhura</t>
        </is>
      </c>
      <c r="H10" s="21" t="inlineStr">
        <is>
          <t>Lycroa won 3-0 on penalties</t>
        </is>
      </c>
      <c r="I10" s="10" t="n">
        <v>32</v>
      </c>
    </row>
    <row r="11" ht="22.5" customHeight="1" s="34">
      <c r="A11" s="14">
        <f>SUM(B11+250)</f>
        <v/>
      </c>
      <c r="B11" s="14">
        <f>sum(B10-4)</f>
        <v/>
      </c>
      <c r="C11" s="9" t="inlineStr">
        <is>
          <t>Mahea</t>
        </is>
      </c>
      <c r="D11" s="14" t="inlineStr">
        <is>
          <t>Seytinemas</t>
        </is>
      </c>
      <c r="E11" s="25" t="inlineStr">
        <is>
          <t>New Misos</t>
        </is>
      </c>
      <c r="F11" s="20" t="n">
        <v>46054</v>
      </c>
      <c r="G11" s="27" t="inlineStr">
        <is>
          <t>Lycroa</t>
        </is>
      </c>
      <c r="H11" s="10" t="inlineStr">
        <is>
          <t>Expanded to 32 teams</t>
        </is>
      </c>
      <c r="I11" s="10" t="n">
        <v>32</v>
      </c>
    </row>
    <row r="12" ht="22.5" customHeight="1" s="34">
      <c r="A12" s="14">
        <f>SUM(B12+250)</f>
        <v/>
      </c>
      <c r="B12" s="14">
        <f>sum(B11-4)</f>
        <v/>
      </c>
      <c r="C12" s="9" t="inlineStr">
        <is>
          <t>Ayuma</t>
        </is>
      </c>
      <c r="D12" s="14" t="inlineStr">
        <is>
          <t>Verusa</t>
        </is>
      </c>
      <c r="E12" s="15" t="inlineStr">
        <is>
          <t xml:space="preserve">Raledria </t>
        </is>
      </c>
      <c r="F12" s="17" t="n">
        <v>46082</v>
      </c>
      <c r="G12" s="16" t="inlineStr">
        <is>
          <t>Verusa</t>
        </is>
      </c>
      <c r="H12" s="14" t="n"/>
      <c r="I12" s="10" t="n">
        <v>24</v>
      </c>
    </row>
    <row r="13" ht="22.5" customHeight="1" s="34">
      <c r="A13" s="14">
        <f>SUM(B13+250)</f>
        <v/>
      </c>
      <c r="B13" s="14">
        <f>sum(B12-4)</f>
        <v/>
      </c>
      <c r="C13" s="9" t="inlineStr">
        <is>
          <t>Massir</t>
        </is>
      </c>
      <c r="D13" s="10" t="inlineStr">
        <is>
          <t>Dahe</t>
        </is>
      </c>
      <c r="E13" s="25" t="inlineStr">
        <is>
          <t>Lycroa</t>
        </is>
      </c>
      <c r="F13" s="20" t="n">
        <v>46055</v>
      </c>
      <c r="G13" s="16" t="inlineStr">
        <is>
          <t>Emara</t>
        </is>
      </c>
      <c r="H13" s="10" t="inlineStr">
        <is>
          <t>24 teams bought back</t>
        </is>
      </c>
      <c r="I13" s="10" t="n">
        <v>24</v>
      </c>
      <c r="K13" s="22" t="n"/>
    </row>
    <row r="14" ht="22.5" customHeight="1" s="34">
      <c r="A14" s="14">
        <f>SUM(B14+250)</f>
        <v/>
      </c>
      <c r="B14" s="14">
        <f>sum(B13-4)</f>
        <v/>
      </c>
      <c r="C14" s="9" t="inlineStr">
        <is>
          <t>Ayuma</t>
        </is>
      </c>
      <c r="D14" s="14" t="inlineStr">
        <is>
          <t>Emara</t>
        </is>
      </c>
      <c r="E14" s="15" t="inlineStr">
        <is>
          <t>Emara</t>
        </is>
      </c>
      <c r="F14" s="14" t="inlineStr">
        <is>
          <t>1-0</t>
        </is>
      </c>
      <c r="G14" s="16" t="inlineStr">
        <is>
          <t>Taval</t>
        </is>
      </c>
      <c r="H14" s="10" t="inlineStr">
        <is>
          <t>Reverted to Old format</t>
        </is>
      </c>
      <c r="I14" s="10" t="n">
        <v>16</v>
      </c>
    </row>
    <row r="15" ht="22.5" customHeight="1" s="34">
      <c r="A15" s="14">
        <f>SUM(B15+250)</f>
        <v/>
      </c>
      <c r="B15" s="14">
        <f>sum(B14-4)</f>
        <v/>
      </c>
      <c r="C15" s="9" t="inlineStr">
        <is>
          <t>Acrola</t>
        </is>
      </c>
      <c r="D15" s="14" t="inlineStr">
        <is>
          <t>Areoix Lie</t>
        </is>
      </c>
      <c r="E15" s="15" t="inlineStr">
        <is>
          <t>Verusa</t>
        </is>
      </c>
      <c r="F15" s="20" t="n">
        <v>46082</v>
      </c>
      <c r="G15" s="16" t="inlineStr">
        <is>
          <t>Easuhura</t>
        </is>
      </c>
      <c r="H15" s="10" t="inlineStr">
        <is>
          <t>Expanded to 24 teams</t>
        </is>
      </c>
      <c r="I15" s="10" t="n">
        <v>24</v>
      </c>
    </row>
    <row r="16" ht="22.5" customHeight="1" s="34">
      <c r="A16" s="14">
        <f>SUM(B16+250)</f>
        <v/>
      </c>
      <c r="B16" s="14">
        <f>sum(B15-4)</f>
        <v/>
      </c>
      <c r="C16" s="9" t="inlineStr">
        <is>
          <t>Atirha</t>
        </is>
      </c>
      <c r="D16" s="14" t="inlineStr">
        <is>
          <t>Etirha</t>
        </is>
      </c>
      <c r="E16" s="25" t="inlineStr">
        <is>
          <t>Praesyu</t>
        </is>
      </c>
      <c r="F16" s="14" t="inlineStr">
        <is>
          <t>4-0</t>
        </is>
      </c>
      <c r="G16" s="27" t="inlineStr">
        <is>
          <t>Lycroa</t>
        </is>
      </c>
      <c r="H16" s="14" t="n"/>
      <c r="I16" s="10" t="n">
        <v>16</v>
      </c>
    </row>
    <row r="17" ht="22.5" customHeight="1" s="34">
      <c r="A17" s="14">
        <f>SUM(B17+250)</f>
        <v/>
      </c>
      <c r="B17" s="14">
        <f>sum(B16-4)</f>
        <v/>
      </c>
      <c r="C17" s="9" t="inlineStr">
        <is>
          <t>Ayuma</t>
        </is>
      </c>
      <c r="D17" s="14" t="inlineStr">
        <is>
          <t xml:space="preserve">Easuhura </t>
        </is>
      </c>
      <c r="E17" s="15" t="inlineStr">
        <is>
          <t xml:space="preserve">Raledria </t>
        </is>
      </c>
      <c r="F17" s="20" t="n">
        <v>46054</v>
      </c>
      <c r="G17" s="16" t="inlineStr">
        <is>
          <t>Emara</t>
        </is>
      </c>
      <c r="H17" s="14" t="inlineStr">
        <is>
          <t xml:space="preserve">Was Estijan, drug scandal </t>
        </is>
      </c>
      <c r="I17" s="10" t="n">
        <v>16</v>
      </c>
    </row>
    <row r="18" ht="22.5" customHeight="1" s="34">
      <c r="A18" s="14">
        <f>SUM(B18+250)</f>
        <v/>
      </c>
      <c r="B18" s="14">
        <f>sum(B17-4)</f>
        <v/>
      </c>
      <c r="C18" s="9" t="inlineStr">
        <is>
          <t>Ayuma</t>
        </is>
      </c>
      <c r="D18" s="14" t="inlineStr">
        <is>
          <t>Praesyu</t>
        </is>
      </c>
      <c r="E18" s="15" t="inlineStr">
        <is>
          <t xml:space="preserve">Raledria </t>
        </is>
      </c>
      <c r="F18" s="17" t="n">
        <v>46114</v>
      </c>
      <c r="G18" s="16" t="inlineStr">
        <is>
          <t>Easuhura</t>
        </is>
      </c>
      <c r="H18" s="14" t="n"/>
      <c r="I18" s="10" t="n">
        <v>16</v>
      </c>
    </row>
    <row r="19" ht="22.5" customHeight="1" s="34">
      <c r="A19" s="14">
        <f>SUM(B19+250)</f>
        <v/>
      </c>
      <c r="B19" s="14">
        <f>sum(B18-4)</f>
        <v/>
      </c>
      <c r="C19" s="9" t="inlineStr">
        <is>
          <t>New Ayre</t>
        </is>
      </c>
      <c r="D19" s="14" t="inlineStr">
        <is>
          <t>United Delet</t>
        </is>
      </c>
      <c r="E19" s="25" t="inlineStr">
        <is>
          <t>United Delet</t>
        </is>
      </c>
      <c r="F19" s="17" t="n">
        <v>46082</v>
      </c>
      <c r="G19" s="16" t="inlineStr">
        <is>
          <t xml:space="preserve">Raledria </t>
        </is>
      </c>
      <c r="H19" s="14" t="n"/>
      <c r="I19" s="10" t="n">
        <v>16</v>
      </c>
    </row>
    <row r="20" ht="22.5" customHeight="1" s="34">
      <c r="A20" s="14">
        <f>SUM(B20+250)</f>
        <v/>
      </c>
      <c r="B20" s="14">
        <f>sum(B19-4)</f>
        <v/>
      </c>
      <c r="C20" s="9" t="inlineStr">
        <is>
          <t>Ayuma</t>
        </is>
      </c>
      <c r="D20" s="14" t="inlineStr">
        <is>
          <t>Emara</t>
        </is>
      </c>
      <c r="E20" s="15" t="inlineStr">
        <is>
          <t>Emara</t>
        </is>
      </c>
      <c r="F20" s="17" t="n">
        <v>46083</v>
      </c>
      <c r="G20" s="16" t="inlineStr">
        <is>
          <t>Siana</t>
        </is>
      </c>
      <c r="H20" s="14" t="n"/>
      <c r="I20" s="10" t="n">
        <v>16</v>
      </c>
    </row>
    <row r="21" ht="22.5" customHeight="1" s="34">
      <c r="A21" s="14">
        <f>SUM(B21+250)</f>
        <v/>
      </c>
      <c r="B21" s="14">
        <f>sum(B20-4)</f>
        <v/>
      </c>
      <c r="C21" s="9" t="inlineStr">
        <is>
          <t>Atirha</t>
        </is>
      </c>
      <c r="D21" s="10" t="inlineStr">
        <is>
          <t>Raledria</t>
        </is>
      </c>
      <c r="E21" s="15" t="inlineStr">
        <is>
          <t xml:space="preserve">Raledria </t>
        </is>
      </c>
      <c r="F21" s="23" t="n">
        <v>46082</v>
      </c>
      <c r="G21" s="27" t="inlineStr">
        <is>
          <t>United Delet</t>
        </is>
      </c>
      <c r="H21" s="10" t="inlineStr">
        <is>
          <t>Rebranded as the World Cup</t>
        </is>
      </c>
      <c r="I21" s="10" t="n">
        <v>16</v>
      </c>
    </row>
    <row r="22" ht="22.5" customHeight="1" s="34">
      <c r="A22" s="14">
        <f>SUM(B22+250)</f>
        <v/>
      </c>
      <c r="B22" s="14">
        <f>sum(B21-4)</f>
        <v/>
      </c>
      <c r="C22" s="24" t="n"/>
      <c r="D22" s="10" t="inlineStr">
        <is>
          <t>War</t>
        </is>
      </c>
      <c r="E22" s="25" t="n"/>
      <c r="F22" s="31" t="n"/>
      <c r="G22" s="27" t="n"/>
      <c r="H22" s="10" t="n"/>
      <c r="I22" s="10" t="inlineStr">
        <is>
          <t>-</t>
        </is>
      </c>
    </row>
    <row r="23" ht="22.5" customHeight="1" s="34">
      <c r="A23" s="14">
        <f>SUM(B23+250)</f>
        <v/>
      </c>
      <c r="B23" s="14">
        <f>sum(B22-4)</f>
        <v/>
      </c>
      <c r="C23" s="24" t="n"/>
      <c r="D23" s="10" t="inlineStr">
        <is>
          <t>War</t>
        </is>
      </c>
      <c r="E23" s="25" t="n"/>
      <c r="F23" s="32" t="n"/>
      <c r="G23" s="27" t="n"/>
      <c r="H23" s="10" t="n"/>
      <c r="I23" s="10" t="inlineStr">
        <is>
          <t>-</t>
        </is>
      </c>
    </row>
    <row r="24" ht="22.5" customHeight="1" s="34">
      <c r="A24" s="14">
        <f>SUM(B24+250)</f>
        <v/>
      </c>
      <c r="B24" s="14">
        <f>sum(B23-4)</f>
        <v/>
      </c>
      <c r="C24" s="24" t="n"/>
      <c r="D24" s="10" t="inlineStr">
        <is>
          <t>War</t>
        </is>
      </c>
      <c r="E24" s="25" t="n"/>
      <c r="F24" s="31" t="n"/>
      <c r="G24" s="27" t="n"/>
      <c r="H24" s="10" t="inlineStr">
        <is>
          <t>Was planned to be in Raledria</t>
        </is>
      </c>
      <c r="I24" s="10" t="inlineStr">
        <is>
          <t>-</t>
        </is>
      </c>
    </row>
    <row r="25" ht="22.5" customHeight="1" s="34">
      <c r="A25" s="14">
        <f>SUM(B25+250)</f>
        <v/>
      </c>
      <c r="B25" s="14">
        <f>sum(B24-4)</f>
        <v/>
      </c>
      <c r="C25" s="9" t="inlineStr">
        <is>
          <t>Ayuma</t>
        </is>
      </c>
      <c r="D25" s="14" t="inlineStr">
        <is>
          <t>Alzuria</t>
        </is>
      </c>
      <c r="E25" s="25" t="inlineStr">
        <is>
          <t>Alzuria</t>
        </is>
      </c>
      <c r="F25" s="35" t="inlineStr">
        <is>
          <t>5-3</t>
        </is>
      </c>
      <c r="G25" s="16" t="inlineStr">
        <is>
          <t>Siana</t>
        </is>
      </c>
      <c r="H25" s="10" t="n"/>
      <c r="I25" s="10" t="n">
        <v>16</v>
      </c>
    </row>
    <row r="26" ht="22.5" customHeight="1" s="34">
      <c r="A26" s="14">
        <f>SUM(B26+250)</f>
        <v/>
      </c>
      <c r="B26" s="14">
        <f>sum(B25-4)</f>
        <v/>
      </c>
      <c r="C26" s="9" t="inlineStr">
        <is>
          <t>Ayuma</t>
        </is>
      </c>
      <c r="D26" s="14" t="inlineStr">
        <is>
          <t>Lycroa</t>
        </is>
      </c>
      <c r="E26" s="25" t="inlineStr">
        <is>
          <t>Lycroa</t>
        </is>
      </c>
      <c r="F26" s="29" t="inlineStr">
        <is>
          <t>0-0</t>
        </is>
      </c>
      <c r="G26" s="16" t="inlineStr">
        <is>
          <t>Eldjo</t>
        </is>
      </c>
      <c r="H26" s="10" t="inlineStr">
        <is>
          <t>Decided on a coin toss</t>
        </is>
      </c>
      <c r="I26" s="10" t="n">
        <v>13</v>
      </c>
    </row>
    <row r="27" ht="22.5" customHeight="1" s="34">
      <c r="A27" s="14">
        <f>SUM(B27+250)</f>
        <v/>
      </c>
      <c r="B27" s="14">
        <f>sum(B26-4)</f>
        <v/>
      </c>
      <c r="C27" s="9" t="inlineStr">
        <is>
          <t>Ayuma</t>
        </is>
      </c>
      <c r="D27" s="14" t="inlineStr">
        <is>
          <t>Praesyu</t>
        </is>
      </c>
      <c r="E27" s="15" t="inlineStr">
        <is>
          <t>Eldjo</t>
        </is>
      </c>
      <c r="F27" s="30" t="inlineStr">
        <is>
          <t>3-0</t>
        </is>
      </c>
      <c r="G27" s="16" t="inlineStr">
        <is>
          <t>Emara</t>
        </is>
      </c>
      <c r="H27" s="10" t="n"/>
      <c r="I27" s="10" t="n">
        <v>12</v>
      </c>
    </row>
    <row r="28" ht="22.5" customHeight="1" s="34">
      <c r="A28" s="14">
        <f>SUM(B28+250)</f>
        <v/>
      </c>
      <c r="B28" s="14">
        <f>sum(B27-4)</f>
        <v/>
      </c>
      <c r="C28" s="9" t="inlineStr">
        <is>
          <t>Ayuma</t>
        </is>
      </c>
      <c r="D28" s="14" t="inlineStr">
        <is>
          <t>Emara</t>
        </is>
      </c>
      <c r="E28" s="15" t="inlineStr">
        <is>
          <t>Emara</t>
        </is>
      </c>
      <c r="F28" s="36" t="inlineStr">
        <is>
          <t>6-3</t>
        </is>
      </c>
      <c r="G28" s="27" t="inlineStr">
        <is>
          <t>Lycroa</t>
        </is>
      </c>
      <c r="H28" s="10" t="n"/>
      <c r="I28" s="10" t="n">
        <v>10</v>
      </c>
      <c r="K28" s="22" t="n"/>
    </row>
    <row r="29" ht="22.5" customHeight="1" s="34">
      <c r="A29" s="14">
        <f>SUM(B29+250)</f>
        <v/>
      </c>
      <c r="B29" s="14">
        <f>sum(B28-4)</f>
        <v/>
      </c>
      <c r="C29" s="9" t="inlineStr">
        <is>
          <t>Ayuma</t>
        </is>
      </c>
      <c r="D29" s="10" t="inlineStr">
        <is>
          <t>Eldjo</t>
        </is>
      </c>
      <c r="E29" s="25" t="inlineStr">
        <is>
          <t>Lycroa</t>
        </is>
      </c>
      <c r="F29" s="35" t="inlineStr">
        <is>
          <t>3-1</t>
        </is>
      </c>
      <c r="G29" s="16" t="inlineStr">
        <is>
          <t>Estijan</t>
        </is>
      </c>
      <c r="H29" s="10" t="n"/>
      <c r="I29" s="10" t="n">
        <v>12</v>
      </c>
    </row>
    <row r="30" ht="22.5" customHeight="1" s="34">
      <c r="A30" s="14">
        <f>SUM(B30+250)</f>
        <v/>
      </c>
      <c r="B30" s="14">
        <f>sum(B29-4)</f>
        <v/>
      </c>
      <c r="C30" s="24" t="n"/>
      <c r="D30" s="10" t="inlineStr">
        <is>
          <t>War</t>
        </is>
      </c>
      <c r="E30" s="25" t="n"/>
      <c r="F30" s="31" t="n"/>
      <c r="G30" s="27" t="n"/>
      <c r="H30" s="10" t="inlineStr">
        <is>
          <t>Cancelled Due to War</t>
        </is>
      </c>
      <c r="I30" s="10" t="n">
        <v>9</v>
      </c>
    </row>
    <row r="31" ht="22.5" customHeight="1" s="34">
      <c r="A31" s="14">
        <f>SUM(B31+250)</f>
        <v/>
      </c>
      <c r="B31" s="14">
        <f>sum(B30-4)</f>
        <v/>
      </c>
      <c r="C31" s="9" t="inlineStr">
        <is>
          <t>Ayuma</t>
        </is>
      </c>
      <c r="D31" s="14" t="inlineStr">
        <is>
          <t xml:space="preserve">Easuhura </t>
        </is>
      </c>
      <c r="E31" s="25" t="inlineStr">
        <is>
          <t>Lycroa</t>
        </is>
      </c>
      <c r="F31" s="32" t="n">
        <v>46174</v>
      </c>
      <c r="G31" s="16" t="inlineStr">
        <is>
          <t>Emara</t>
        </is>
      </c>
      <c r="H31" s="10" t="n"/>
      <c r="I31" s="10" t="n">
        <v>8</v>
      </c>
      <c r="K31" s="22" t="n"/>
    </row>
    <row r="32" ht="22.5" customHeight="1" s="34">
      <c r="A32" s="14">
        <f>SUM(B32+250)</f>
        <v/>
      </c>
      <c r="B32" s="14">
        <f>sum(B31-4)</f>
        <v/>
      </c>
      <c r="C32" s="9" t="inlineStr">
        <is>
          <t>Ayuma</t>
        </is>
      </c>
      <c r="D32" s="14" t="inlineStr">
        <is>
          <t>Siana</t>
        </is>
      </c>
      <c r="E32" s="15" t="inlineStr">
        <is>
          <t>Estijan</t>
        </is>
      </c>
      <c r="F32" s="37" t="inlineStr">
        <is>
          <t>6-3</t>
        </is>
      </c>
      <c r="G32" s="16" t="inlineStr">
        <is>
          <t>Eldjo</t>
        </is>
      </c>
      <c r="H32" s="10" t="inlineStr">
        <is>
          <t>First Continental Tournament</t>
        </is>
      </c>
      <c r="I32" s="10" t="n">
        <v>9</v>
      </c>
    </row>
  </sheetData>
  <dataValidations count="1">
    <dataValidation sqref="C2:C32" showDropDown="0" showInputMessage="0" showErrorMessage="0" allowBlank="1" type="list">
      <formula1>"Quia,Mahea,Massir,Atirha,Ayuma,New Ayre,Acrola"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2026-06-10T20:44:36Z</dcterms:created>
  <dcterms:modified xsi:type="dcterms:W3CDTF">2026-06-22T22:33:31Z</dcterms:modified>
</cp:coreProperties>
</file>